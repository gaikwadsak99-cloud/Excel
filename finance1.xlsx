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IT-VEDANT\Github Projects\Excel\Finance Project\"/>
    </mc:Choice>
  </mc:AlternateContent>
  <xr:revisionPtr revIDLastSave="0" documentId="13_ncr:9_{2F0AAA47-4F06-4F97-BD46-1F10F917BEF9}" xr6:coauthVersionLast="47" xr6:coauthVersionMax="47" xr10:uidLastSave="{00000000-0000-0000-0000-000000000000}"/>
  <bookViews>
    <workbookView xWindow="-108" yWindow="-108" windowWidth="23256" windowHeight="12456" activeTab="2" xr2:uid="{0A142696-52AC-430C-AAC0-D04F90F16290}"/>
  </bookViews>
  <sheets>
    <sheet name="finance1" sheetId="1" r:id="rId1"/>
    <sheet name="Analysis" sheetId="10" r:id="rId2"/>
    <sheet name="Dashboard" sheetId="8" r:id="rId3"/>
  </sheets>
  <definedNames>
    <definedName name="Slicer_Source_of_Financing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alcChain>
</file>

<file path=xl/sharedStrings.xml><?xml version="1.0" encoding="utf-8"?>
<sst xmlns="http://schemas.openxmlformats.org/spreadsheetml/2006/main" count="2419" uniqueCount="730">
  <si>
    <t>Project Code</t>
  </si>
  <si>
    <t>Title</t>
  </si>
  <si>
    <t>Commitment in U.A</t>
  </si>
  <si>
    <t>Country</t>
  </si>
  <si>
    <t>Starting Date</t>
  </si>
  <si>
    <t>Status</t>
  </si>
  <si>
    <t>Source of Financing</t>
  </si>
  <si>
    <t>Sector</t>
  </si>
  <si>
    <t>Sovereign</t>
  </si>
  <si>
    <t>P-MG-H00-002</t>
  </si>
  <si>
    <t>Madagascar - Industrialisation and Financial Sector Support Project (PAISF)</t>
  </si>
  <si>
    <t>Madagascar</t>
  </si>
  <si>
    <t>Approved</t>
  </si>
  <si>
    <t>African Development Fund</t>
  </si>
  <si>
    <t>Finance</t>
  </si>
  <si>
    <t>P-Z1-H00-063</t>
  </si>
  <si>
    <t>Multinational - Domestic debt markets development in the West African Monetary Zone</t>
  </si>
  <si>
    <t>Multinational</t>
  </si>
  <si>
    <t>Implementation</t>
  </si>
  <si>
    <t>Fragile States Facility</t>
  </si>
  <si>
    <t>P-MG-HAZ-001</t>
  </si>
  <si>
    <t>Madagascar - SME Business Linkages Program</t>
  </si>
  <si>
    <t>P-MU-H00-004</t>
  </si>
  <si>
    <t>Mauritius - Stock Exchange Mauritius (SEM) Project</t>
  </si>
  <si>
    <t>Mauritius</t>
  </si>
  <si>
    <t>Middle Income Countries Fund</t>
  </si>
  <si>
    <t>P-AO-HAB-009</t>
  </si>
  <si>
    <t>Angola - Line of Credit to « Banco Millennium Atlantico SA »</t>
  </si>
  <si>
    <t>Angola</t>
  </si>
  <si>
    <t>African Development Bank</t>
  </si>
  <si>
    <t>Non Sovereign</t>
  </si>
  <si>
    <t>P-MR-HZ0-005</t>
  </si>
  <si>
    <t>Mauritania - Financial Infrastructure Modernisation Support Project (PAMIF) - Additionnal Loan</t>
  </si>
  <si>
    <t>Mauritania</t>
  </si>
  <si>
    <t>P-Z1-H00-057</t>
  </si>
  <si>
    <t>Multinational - WAEMU Regional Mortgage Refinancing Company (CRRH)</t>
  </si>
  <si>
    <t>P-Z1-HZ0-037</t>
  </si>
  <si>
    <t>Multinational - Small- and Medium-sized Enterprise (SME) Business Linkages on East Africa Crude Oil Pipeline Project</t>
  </si>
  <si>
    <t>Fund for African Private Sector Assistance</t>
  </si>
  <si>
    <t>P-Z1-HZ0-045</t>
  </si>
  <si>
    <t>Uganda and Tanzania : MSMEs Business Linkage on East African Crude Oil Pipeline</t>
  </si>
  <si>
    <t>P-EG-H00-005</t>
  </si>
  <si>
    <t>Egypt - Line of Credit to «Corporate Leasing Company (Corplease) »</t>
  </si>
  <si>
    <t>Egypt</t>
  </si>
  <si>
    <t>P-ML-HZ0-001</t>
  </si>
  <si>
    <t>Mali - African Trade Insurance Agency (ATI): Country Membership Programme</t>
  </si>
  <si>
    <t>Mali</t>
  </si>
  <si>
    <t>P-KE-HAB-030</t>
  </si>
  <si>
    <t>Kenya - Equity Group Holdings Plc</t>
  </si>
  <si>
    <t>Kenya</t>
  </si>
  <si>
    <t>P-MA-HAA-012</t>
  </si>
  <si>
    <t>Morocco - "Fonds d’Equipement Communal (FEC)"</t>
  </si>
  <si>
    <t>Morocco</t>
  </si>
  <si>
    <t>P-Z1-HB0-064</t>
  </si>
  <si>
    <t>Multinational – Project for Digitisation of Government Payments in the Mano River Union (DIGIGOV_MRU) countries – Guinea</t>
  </si>
  <si>
    <t>P-Z1-HB0-071</t>
  </si>
  <si>
    <t>SIERRA LEONE - Government Payments Digitization in Mano River Union</t>
  </si>
  <si>
    <t>P-Z1-HB0-072</t>
  </si>
  <si>
    <t>GOVERNMENT PAYMENTS (P2G &amp; G2P) DIGITIZATION IN MANO RIVER UNION - LIBERIA</t>
  </si>
  <si>
    <t>P-Z1-H00-072</t>
  </si>
  <si>
    <t>Multinational - Projet d’Appui au Démarrage du Marché Financier Unifié d’Afrique Centrale (Projet AMFUAC)</t>
  </si>
  <si>
    <t>P-GN-HA0-001</t>
  </si>
  <si>
    <t>Guinea - Vista Bank - Africa SME Programme</t>
  </si>
  <si>
    <t>Guinea</t>
  </si>
  <si>
    <t>P-SN-HA0-002</t>
  </si>
  <si>
    <t>Sénégal - Banque Nationale pour le Développement Economique (BNDE)</t>
  </si>
  <si>
    <t>Senegal</t>
  </si>
  <si>
    <t>P-KE-HAB-026</t>
  </si>
  <si>
    <t>Kenya - Credit Bank PLC (CBP)</t>
  </si>
  <si>
    <t>P-RW-HAB-006</t>
  </si>
  <si>
    <t>Rwanda - "Compagnie Générale de Banque PLC" (COGEBANQUE)</t>
  </si>
  <si>
    <t>Rwanda</t>
  </si>
  <si>
    <t>P-Z1-HAA-092</t>
  </si>
  <si>
    <t>Multinational - COMESA Regional Trade and Project Finance Support Facility - Eastern and Southern African Trade and Development Bank (TDB)</t>
  </si>
  <si>
    <t>P-Z1-HAA-093</t>
  </si>
  <si>
    <t>P-Z1-HAA-094</t>
  </si>
  <si>
    <t>P-Z1-HAB-073</t>
  </si>
  <si>
    <t>Regional - Attijariwafa Bank - Partnership for Trade Development in Africa</t>
  </si>
  <si>
    <t>P-Z1-HZ0-038</t>
  </si>
  <si>
    <t>Multinational - East African Community Payment and Settlement Systems Integration Project (EAC-PSSIP) - South Sudan</t>
  </si>
  <si>
    <t>P-MZ-HAB-004</t>
  </si>
  <si>
    <t>Mozambique - Line of Credit to "Banco Comercial E De Investimentos S.A. (BCI)"</t>
  </si>
  <si>
    <t>Mozambique</t>
  </si>
  <si>
    <t>P-TN-HAB-013</t>
  </si>
  <si>
    <t>Tunisia - BH Bank (formerly known as Banque de l’Habitat)</t>
  </si>
  <si>
    <t>Tunisia</t>
  </si>
  <si>
    <t>P-MG-HZ0-001</t>
  </si>
  <si>
    <t>Madagascar - Africa Disaster Risks Financing Progamme (ADRIFI)</t>
  </si>
  <si>
    <t>P-TN-HAB-009</t>
  </si>
  <si>
    <t>Tunisia - Amen Bank</t>
  </si>
  <si>
    <t>P-TN-HAB-015</t>
  </si>
  <si>
    <t>P-KE-HB0-009</t>
  </si>
  <si>
    <t>Kenya - Kenya Mortgage Refinance Company (KMRC)</t>
  </si>
  <si>
    <t>P-TN-HZ0-005</t>
  </si>
  <si>
    <t>Tunisia - Financial Sector Modernisation Support Programme II - (PAMSFI II)</t>
  </si>
  <si>
    <t>P-BW-HAA-004</t>
  </si>
  <si>
    <t>Botswana - Botswana Development Corporation Limited (BDC)</t>
  </si>
  <si>
    <t>Botswana</t>
  </si>
  <si>
    <t>P-NG-H00-011</t>
  </si>
  <si>
    <t>Nigeria - Infrastructure Credit Guarantee Company Limited (INFRACREDIT)</t>
  </si>
  <si>
    <t>Nigeria</t>
  </si>
  <si>
    <t xml:space="preserve">P-Z1-HZ0-034 </t>
  </si>
  <si>
    <t>Multinational - Africa Disaster Risk Financing (ADRiFi) Programme in The Gambia</t>
  </si>
  <si>
    <t>P-BF-HAA-001</t>
  </si>
  <si>
    <t>Burkina Faso - Support Project for Establishing an Agribusiness Bank (PACBA)</t>
  </si>
  <si>
    <t>Burkina Faso</t>
  </si>
  <si>
    <t>P-Z1-HAA-091</t>
  </si>
  <si>
    <t>Multinational - Capacity Building Support Project of the Maghreb Bank for Investment and Foreign Trade (BMICE)</t>
  </si>
  <si>
    <t>P-NG-HAB-042</t>
  </si>
  <si>
    <t>Nigeria - Fidelity Bank PLC</t>
  </si>
  <si>
    <t>P-UG-HAA-006</t>
  </si>
  <si>
    <t>Uganda - Uganda Development Bank Limited</t>
  </si>
  <si>
    <t>Uganda</t>
  </si>
  <si>
    <t>P-UG-HAA-007</t>
  </si>
  <si>
    <t>P-MA-HA0-005</t>
  </si>
  <si>
    <t>Morocco - "Groupe Banque Centrale Populaire"</t>
  </si>
  <si>
    <t>P-CD-HAB-005</t>
  </si>
  <si>
    <t>Democratic Republic of the Congo - Rawbank</t>
  </si>
  <si>
    <t>Congo, the Democratic Republic of the</t>
  </si>
  <si>
    <t>Completion</t>
  </si>
  <si>
    <t>P-Z1-HB0-057</t>
  </si>
  <si>
    <t>Multinational - African Local Currency Bond Fund (ALCB FUND)</t>
  </si>
  <si>
    <t>P-Z1-HB0-013</t>
  </si>
  <si>
    <t>Multinational - West African Economic and Monetary Union (WAEMU) Regional Financial Market Support Project (PADMAFIR)</t>
  </si>
  <si>
    <t>P-MR-HZ0-004</t>
  </si>
  <si>
    <t>Mauritania - Financial Infrastructure Modernization Support Project (PAMIF)</t>
  </si>
  <si>
    <t>P-MU-HAB-001</t>
  </si>
  <si>
    <t>Mauritius - Maubank Holdings Limited</t>
  </si>
  <si>
    <t>G-TN-H00-ZZZ-001</t>
  </si>
  <si>
    <t>Appui aux PME pour l'accès au financement non bancaire</t>
  </si>
  <si>
    <t>Multi donor Trust Fund for Countries in Transition</t>
  </si>
  <si>
    <t>P-Z1-H00-047</t>
  </si>
  <si>
    <t>Multinational - Line of Credit to Oragroup</t>
  </si>
  <si>
    <t>P-ZM-HB0-006</t>
  </si>
  <si>
    <t>Zambia - Zambia National Building Society</t>
  </si>
  <si>
    <t>Zambia</t>
  </si>
  <si>
    <t>P-KE-HAB-013</t>
  </si>
  <si>
    <t>Kenya - Kenya Commercial Bank Limited</t>
  </si>
  <si>
    <t>P-ZA-HAA-014</t>
  </si>
  <si>
    <t>South Africa - Industrial Development Corporation (IDC)</t>
  </si>
  <si>
    <t>South Africa</t>
  </si>
  <si>
    <t>P-SL-HAB-002</t>
  </si>
  <si>
    <t>Sierra Leone - Union Trust Bank Limited
(Africa SME Program)</t>
  </si>
  <si>
    <t>Sierra Leone</t>
  </si>
  <si>
    <t>P-TN-HAB-005</t>
  </si>
  <si>
    <t>Tunisia - Hannibal Lease
(Africa SME Program)</t>
  </si>
  <si>
    <t>P-RW-HAA-007</t>
  </si>
  <si>
    <t>Rwanda - Development Bank of Rwanda</t>
  </si>
  <si>
    <t>P-SZ-HAA-001</t>
  </si>
  <si>
    <t>Swaziland - Swaziland Development Finance Corporation (FINCORP) -Second LoC is under the Africa SME Program</t>
  </si>
  <si>
    <t>Eswatini</t>
  </si>
  <si>
    <t>P-SS-HZ0-001</t>
  </si>
  <si>
    <t xml:space="preserve">South Sudan  - Regional Development Finance Institutions (African Trade Insurance Agency (ATI) and Eastern and Southern African Trade and Development Bank (TDB)) – Country Membership Programme </t>
  </si>
  <si>
    <t>South Sudan</t>
  </si>
  <si>
    <t>P-Z1-HAA-085</t>
  </si>
  <si>
    <t>Multinational - African Export-Import Bank (Afreximbank) Trade Finance Package - Line of Credit</t>
  </si>
  <si>
    <t>P-GN-HAA-001</t>
  </si>
  <si>
    <t>Guinea - Financial Sector Modernization Support Project (PAMSFI)</t>
  </si>
  <si>
    <t>P-ST-H00-002</t>
  </si>
  <si>
    <t>São Tomé and Principe - Payments System Infrastructure and Financial Inclusion Project</t>
  </si>
  <si>
    <t>Sao Tome and Principe</t>
  </si>
  <si>
    <t>P-KE-HAB-008</t>
  </si>
  <si>
    <t>Kenya - Commercial Bank of Africa Limited</t>
  </si>
  <si>
    <t>P-KE-HAB-025</t>
  </si>
  <si>
    <t>P-Z1-HAA-084</t>
  </si>
  <si>
    <t>Multinational - Eastern and Southern Africa Development Bank - Line of Credit (LoC) V</t>
  </si>
  <si>
    <t>P-BW-HB0-004</t>
  </si>
  <si>
    <t>Botswana - Middle Income Countries Technical Assistance Grant to Botswana Development Corporation (BDC)</t>
  </si>
  <si>
    <t>P-BF-HA0-001</t>
  </si>
  <si>
    <t>Burkina Faso – Coris Bank International - Line of Credit</t>
  </si>
  <si>
    <t>P-KE-HAB-022</t>
  </si>
  <si>
    <t>Kenya - Diamond Trust Bank Kenya Limited</t>
  </si>
  <si>
    <t>P-TN-HAB-003</t>
  </si>
  <si>
    <t>Tunisia - "Banque de l’Habitat"</t>
  </si>
  <si>
    <t>P-EG-HA0-001</t>
  </si>
  <si>
    <t>Egypt - Nasser Social Bank Restructuring Project - Phase I</t>
  </si>
  <si>
    <t>P-Z1-HA0-008</t>
  </si>
  <si>
    <t>Multinational - Project to Support the Promotion of Access by MFIs
(or DFSs) to the WAEMU Regional Payment System
(PASFDSPR)</t>
  </si>
  <si>
    <t>P-Z1-HAB-045</t>
  </si>
  <si>
    <t>Multinational - Ecobank Transnational Incorporated</t>
  </si>
  <si>
    <t>P-ZM-HAA-001</t>
  </si>
  <si>
    <t>Zambia - Development Bank of Zambia</t>
  </si>
  <si>
    <t>P-TG-H00-003</t>
  </si>
  <si>
    <t>Togo - Projet d'appui à l'inclusion financière des femme vulnérables au Togo</t>
  </si>
  <si>
    <t>Togo</t>
  </si>
  <si>
    <t>P-MA-HAZ-002</t>
  </si>
  <si>
    <t>Morocco - Financial Stability and Inclusion Strengthening Support Programme</t>
  </si>
  <si>
    <t>P-TN-HZ0-002</t>
  </si>
  <si>
    <t>Tunisia - Financial Sector Modernization Support Program</t>
  </si>
  <si>
    <t>Cancelled</t>
  </si>
  <si>
    <t>P-NG-HAB-037</t>
  </si>
  <si>
    <t>Nigeria - First Bank of Nigeria Limited</t>
  </si>
  <si>
    <t>P-NG-HAB-038</t>
  </si>
  <si>
    <t>Nigeria – Line of Credit to FSDH Merchant Bank Limited</t>
  </si>
  <si>
    <t>P-MR-HAB-007</t>
  </si>
  <si>
    <t>Mauritania - "Banque pour le Commerce et l’Industrie" – Trade Finance Line of Credit</t>
  </si>
  <si>
    <t>P-NG-HA0-012</t>
  </si>
  <si>
    <t>Nigeria - United Bank For Africa PLC.</t>
  </si>
  <si>
    <t>P-MR-HA0-001</t>
  </si>
  <si>
    <t>Mauritania - "Banque Populaire de Mauritanie" (BPM) (under the Africa SME Program)</t>
  </si>
  <si>
    <t>P-TZ-HAB-009</t>
  </si>
  <si>
    <t>Tanzania - CRDB Bank Limited</t>
  </si>
  <si>
    <t>Tanzania, United Republic of</t>
  </si>
  <si>
    <t>P-ZW-HZ0-001</t>
  </si>
  <si>
    <t xml:space="preserve">Zimbabwe - African Trade Insurance </t>
  </si>
  <si>
    <t>Zimbabwe</t>
  </si>
  <si>
    <t>P-ZW-HA0-002</t>
  </si>
  <si>
    <t>Zimbabwe - Central Africa Building Society Zimbabwe</t>
  </si>
  <si>
    <t>P-Z1-H00-026</t>
  </si>
  <si>
    <t>Multinational - West African Development Bank (BOAD) - Line of Credit III</t>
  </si>
  <si>
    <t>P-Z1-H00-042</t>
  </si>
  <si>
    <t>P-NG-HAB-035</t>
  </si>
  <si>
    <t>Nigeria - Wema Bank Plc</t>
  </si>
  <si>
    <t>P-Z1-HB0-056</t>
  </si>
  <si>
    <t>Multinational- COMESA Microfinance regulation and supervision action plan development</t>
  </si>
  <si>
    <t>P-AO-HAB-003</t>
  </si>
  <si>
    <t>Angola - Line of Credit to "Banco Poupanca e Credito (BPC) SA"</t>
  </si>
  <si>
    <t>P-GH-HAB-004</t>
  </si>
  <si>
    <t>Ghana - UniBank (Ghana) Limited</t>
  </si>
  <si>
    <t>Ghana</t>
  </si>
  <si>
    <t>P-Z1-HZ0-016</t>
  </si>
  <si>
    <t>Multinational - Regional African Trade Insurance - Country Membership Programme</t>
  </si>
  <si>
    <t>P-Z1-HZ0-022</t>
  </si>
  <si>
    <t>Côte d'Ivoire - Regional African Trade Insurance Country Membership Programme (RACMP)</t>
  </si>
  <si>
    <t>P-Z1-HZ0-023</t>
  </si>
  <si>
    <t>Ethiopia- African Trade Insurance- RMC Membership Porgramme</t>
  </si>
  <si>
    <t>P-EG-H00-002</t>
  </si>
  <si>
    <t>Egypt - Modernization of the Egyptian Central Bank Clearing and Settlement Depository System for Government Securities Project</t>
  </si>
  <si>
    <t>P-NA-HAA-004</t>
  </si>
  <si>
    <t>Namibia - Development Bank of Namibia</t>
  </si>
  <si>
    <t>Namibia</t>
  </si>
  <si>
    <t>P-MA-H00-004</t>
  </si>
  <si>
    <t>Morocco - Morocco Economic Competitiveness Support Programme</t>
  </si>
  <si>
    <t>P-SC-H00-002</t>
  </si>
  <si>
    <t>Seychelles- Strengthening the Financial Market</t>
  </si>
  <si>
    <t>Seychelles</t>
  </si>
  <si>
    <t>P-RW-HAB-004</t>
  </si>
  <si>
    <t>Rwanda - Access Bank (Rwanda) Ltd
(under the Africa SME Program)</t>
  </si>
  <si>
    <t>P-NG-H00-004</t>
  </si>
  <si>
    <t>Nigeria - Support for Nigerian Extractive Industries Transparency Initiatives (NEITI)</t>
  </si>
  <si>
    <t>P-ET-HB0-002</t>
  </si>
  <si>
    <t>Ethiopia - Capacity building for financial inclusion in Ethiopia (M-BIRR Mobile Money)</t>
  </si>
  <si>
    <t>Ethiopia</t>
  </si>
  <si>
    <t>P-LR-HB0-001</t>
  </si>
  <si>
    <t>Liberia - Technical Assistance to support Access Bank on financial inclusion</t>
  </si>
  <si>
    <t>Liberia</t>
  </si>
  <si>
    <t>P-CI-H00-002</t>
  </si>
  <si>
    <t>Côte d'Ivoire - Projet d'incubateur pour jeunes entrepreneurs (PRODIJE)</t>
  </si>
  <si>
    <t>Cote d'Ivoire</t>
  </si>
  <si>
    <t>P-NG-HAA-004</t>
  </si>
  <si>
    <t>Nigeria - Development Bank of Nigeria Plc Project</t>
  </si>
  <si>
    <t>P-NG-HB0-006</t>
  </si>
  <si>
    <t>Nigeria - Trade mispricing the hidden drainage of resources out of Nigeria (MIC/ TAF Grant)</t>
  </si>
  <si>
    <t>P-KE-HAB-003</t>
  </si>
  <si>
    <t xml:space="preserve">Kenya - Equity Bank Limited </t>
  </si>
  <si>
    <t>P-Z1-HAA-059</t>
  </si>
  <si>
    <t>Multinational - East African Development Bank (EADB)</t>
  </si>
  <si>
    <t>P-Z1-HB0-038</t>
  </si>
  <si>
    <t>Multinational - Microfinance Training Course for Policy and Development</t>
  </si>
  <si>
    <t>P-MA-HZ0-011</t>
  </si>
  <si>
    <t>Morocco - Financial Sector Development Support Programme – Phase III (PADESFI III)</t>
  </si>
  <si>
    <t>P-NG-HB0-005</t>
  </si>
  <si>
    <t>Nigeria - LAPO Microfinance Bank Ltd.</t>
  </si>
  <si>
    <t>P-BF-HB0-001</t>
  </si>
  <si>
    <t>Burkina Faso- Private Sector Credit Enhancement Facility (PSF) - Recommended Financial Sector Participations</t>
  </si>
  <si>
    <t>P-Z1-HAA-055</t>
  </si>
  <si>
    <t>Multinational - African Export-Import Bank</t>
  </si>
  <si>
    <t>P-NG-HAB-019</t>
  </si>
  <si>
    <t>Nigeria - Access Bank PLC</t>
  </si>
  <si>
    <t>P-MZ-HAB-001</t>
  </si>
  <si>
    <t>Mozambique - Moza Banco S.A.
(under the Africa SME Program)</t>
  </si>
  <si>
    <t>P-NG-HAB-016</t>
  </si>
  <si>
    <t>Nigeria - Stanbic IBTC Bank PLC</t>
  </si>
  <si>
    <t>P-NG-HAB-017</t>
  </si>
  <si>
    <t>Nigeria - Zenith Bank PLC</t>
  </si>
  <si>
    <t>P-Z1-HAA-054</t>
  </si>
  <si>
    <t>Regional - The Company for Habitat and Housing in Africa / Shelter Afrique</t>
  </si>
  <si>
    <t>P-ZM-HB0-003</t>
  </si>
  <si>
    <t>Zambia - CETZAM Financial Services PLC (under the Africa SME Program)</t>
  </si>
  <si>
    <t>P-Z1-HAA-050</t>
  </si>
  <si>
    <t>Multinational - Eastern and Southern African Trade and Development Bank (PTA Bank)</t>
  </si>
  <si>
    <t>P-MU-HAB-002</t>
  </si>
  <si>
    <t>Mauritius - Mauritius Commercial Bank (MCB)</t>
  </si>
  <si>
    <t>P-TN-HAA-038</t>
  </si>
  <si>
    <t>Tunisia - BFPME: Boosting Private Sector Development Through Small and Medium Enterprise Creation and Expansion</t>
  </si>
  <si>
    <t>P-NG-HA0-005</t>
  </si>
  <si>
    <t>Nigeria - Fidelity Bank Plc</t>
  </si>
  <si>
    <t>P-GH-HAB-002</t>
  </si>
  <si>
    <t>Ghana - UT Bank Limited Trade Finance Line of Credit</t>
  </si>
  <si>
    <t>P-KE-HAB-021</t>
  </si>
  <si>
    <t>Kenya - Risk participation agreement to Imperial Bank Kenya in respect of Commerzbank</t>
  </si>
  <si>
    <t>P-Z1-HAA-051</t>
  </si>
  <si>
    <t>FAPA- EADB 2013</t>
  </si>
  <si>
    <t>P-MA-HZ0-009</t>
  </si>
  <si>
    <t>Maroc- Projet d’appui à la modernisation du cadre organisationnel de gestion de la dette (P-MOCOGEDE)</t>
  </si>
  <si>
    <t>P-Z1-HZ0-005</t>
  </si>
  <si>
    <t>FAPA  Technical Assistance ECOWAS Bank for Investment and Development (EBID-BIDC)</t>
  </si>
  <si>
    <t>P-Z1-HAB-007</t>
  </si>
  <si>
    <t xml:space="preserve">Regional - Ecobank Transnational Incorporated Trade Finance Package </t>
  </si>
  <si>
    <t>P-Z1-HAB-010</t>
  </si>
  <si>
    <t>P-NE-HAB-001</t>
  </si>
  <si>
    <t>Niger - Société Nigérienne de Banque (Sonibank)</t>
  </si>
  <si>
    <t>Niger</t>
  </si>
  <si>
    <t>P-SS-HA0-001</t>
  </si>
  <si>
    <t>South Sudan - Institutional Support Project to Public Finance Management and Aid Coordination (PFAID)</t>
  </si>
  <si>
    <t>P-NG-HAB-022</t>
  </si>
  <si>
    <t>Nigeria - Naira line of credit to FirstRand Bank subsidiary, Rand Merchant Bank Nigeria Limited</t>
  </si>
  <si>
    <t>P-TZ-HAB-004</t>
  </si>
  <si>
    <t>Tanzania - Shilling line of credit to FirstRand Bank subsidiary, First National Bank of Tanzania Limited</t>
  </si>
  <si>
    <t>P-ZM-HAB-022</t>
  </si>
  <si>
    <t>Zambia - Line of credit to first national Bank subsidiary, First National Bank of Zambia Limited</t>
  </si>
  <si>
    <t>P-Z1-HZ0-003</t>
  </si>
  <si>
    <t>Multinational -  East African Community - Payment and Settlement Systems Integration Project</t>
  </si>
  <si>
    <t>P-MA-HZ0-010</t>
  </si>
  <si>
    <t>Projet d'elaboration du Code Monetaire et Financier</t>
  </si>
  <si>
    <t>P-DZ-HA0-003</t>
  </si>
  <si>
    <t>Algeria - Project to Strengthen Support for the Supervision of the Implementation of Plans to Modernize Information Systems of Public Banks</t>
  </si>
  <si>
    <t>Algeria</t>
  </si>
  <si>
    <t>P-ZA-HAA-011</t>
  </si>
  <si>
    <t>South Africa - Land and Agricultural Development Bank of South Africa</t>
  </si>
  <si>
    <t>P-TZ-HB0-001</t>
  </si>
  <si>
    <t>Tanzania - FAPA  Grant to Enterprise Financial Centers</t>
  </si>
  <si>
    <t>P-UG-HB0-001</t>
  </si>
  <si>
    <t xml:space="preserve">FAPA  Grant to Enterprise Financial Centers </t>
  </si>
  <si>
    <t>P-Z1-HAA-041</t>
  </si>
  <si>
    <t>Multinational - Africa Finance Corporation</t>
  </si>
  <si>
    <t>G-Z1-HZ0-ZZZ-002</t>
  </si>
  <si>
    <t>Strenghtening debt management capacity initiative</t>
  </si>
  <si>
    <t xml:space="preserve">Global Affairs Canada </t>
  </si>
  <si>
    <t>P-NA-HB0-001</t>
  </si>
  <si>
    <t>Namibia - Trustco Finance</t>
  </si>
  <si>
    <t>P-SL-HA0-004</t>
  </si>
  <si>
    <t>Central Bank of Sierra Leone Capacity Building Component of The Financial Sector Development Plan</t>
  </si>
  <si>
    <t>P-MA-HZ0-006</t>
  </si>
  <si>
    <t xml:space="preserve">Morocco - Financial Sector Development Support Programme - Phase II
</t>
  </si>
  <si>
    <t>P-UG-HA0-002</t>
  </si>
  <si>
    <t>Uganda - Housing Finance Bank Limited</t>
  </si>
  <si>
    <t>P-UG-HA0-003</t>
  </si>
  <si>
    <t>P-DZ-HB0-002</t>
  </si>
  <si>
    <t>Algeria - Ministry of Finance Capacity Building Program</t>
  </si>
  <si>
    <t>P-TN-HAA-037</t>
  </si>
  <si>
    <t>Tunisia - Line of Credit in Support of Small and Medium-Sized Enterprises</t>
  </si>
  <si>
    <t>P-ML-HA0-003</t>
  </si>
  <si>
    <t>Mali - Banque Malienne de Solidarité</t>
  </si>
  <si>
    <t>P-NG-HAA-002</t>
  </si>
  <si>
    <t>Nigeria - Domestic-oriented SME Financing Program</t>
  </si>
  <si>
    <t>P-NG-HAA-003</t>
  </si>
  <si>
    <t>Nigeria - Export-oriented SME Financing Program</t>
  </si>
  <si>
    <t>P-Z1-HAA-032</t>
  </si>
  <si>
    <t>Multinational - West African Development Bank (WADB)</t>
  </si>
  <si>
    <t>P-ZA-HAA-009</t>
  </si>
  <si>
    <t>Multinational - Fifth Line of Credit to the Development Bank of Southern Africa Limited</t>
  </si>
  <si>
    <t>P-MA-H00-002</t>
  </si>
  <si>
    <t>Projet d’appui au renforcement du système national de garantie en faveur des PME et des populations cibles (PARSNG)</t>
  </si>
  <si>
    <t>P-RW-HAA-006</t>
  </si>
  <si>
    <t>Rwanda Development Bank , Technical Assistance ( Fapa)</t>
  </si>
  <si>
    <t>P-RW-HAB-003</t>
  </si>
  <si>
    <t>Rwanda - Institutional Capacity Building Project</t>
  </si>
  <si>
    <t>P-MA-HZ0-007</t>
  </si>
  <si>
    <t>Projet d’appui au renforcement de la supervision et du contrôle des marchés financiers (PARSCMF)</t>
  </si>
  <si>
    <t>P-RW-HAA-004</t>
  </si>
  <si>
    <t>Rwanda - Banque Rwandaise de Développement</t>
  </si>
  <si>
    <t>P-RW-HAB-001</t>
  </si>
  <si>
    <t>Rwanda - Bank of Kigali</t>
  </si>
  <si>
    <t>P-Z1-HZ0-002</t>
  </si>
  <si>
    <t>Multinational - West African Monetary Zone Payments System Development Project (The Gambia, Guinea, Sierra Leone and Liberia)</t>
  </si>
  <si>
    <t>G-Z1-H00-ZZZ-002</t>
  </si>
  <si>
    <t>Payment &amp; Settlement Development &amp; Integration in the East African Community (EAC)</t>
  </si>
  <si>
    <t>P-Z1-HZ0-004</t>
  </si>
  <si>
    <t>Multinational - Feasibility Study of the Project for the Establishment of the Fund for the Development and Financing of the Transport and Energy Sectors of the Economic Community of West African States (FODETE-ECOWAS)</t>
  </si>
  <si>
    <t>NEPAD Infrastructure Project Preparation Facility</t>
  </si>
  <si>
    <t>P-Z1-HA0-004</t>
  </si>
  <si>
    <t>P-NG-HAB-009</t>
  </si>
  <si>
    <t>Nigeria - Guaranty Trust Bank Plc</t>
  </si>
  <si>
    <t>G-Z2-H00-ZZZ-003</t>
  </si>
  <si>
    <t>Report on the observance of Standards &amp; Codes</t>
  </si>
  <si>
    <t>P-ZA-HA0-003</t>
  </si>
  <si>
    <t>South Africa - Line of Credit to the Industrial Development Corporation of South Africa</t>
  </si>
  <si>
    <t>P-CI-HA0-001</t>
  </si>
  <si>
    <t>Côte D'Ivoire - Equity Participation in "MicroCred Côte d’Ivoire"</t>
  </si>
  <si>
    <t>P-Z1-HAA-060</t>
  </si>
  <si>
    <t>Multinational - Banque de Développement des Etats de l'Afrique Centrale (BDEAC) - FAPA  Grant</t>
  </si>
  <si>
    <t>P-MA-HZ0-003</t>
  </si>
  <si>
    <t>Morocco - The Financial Sector Development Support Programme</t>
  </si>
  <si>
    <t>P-Z1-H00-002</t>
  </si>
  <si>
    <t>Multinational - African Trade Insurance</t>
  </si>
  <si>
    <t>African Tax Administration Forum (ATAF) for Analytical Work &amp; consolidation Meeting 2009-2011</t>
  </si>
  <si>
    <t>P-NG-HA0-003</t>
  </si>
  <si>
    <t>Nigeria - ABN Microfinance Bank Nigeria (ABN) - TA</t>
  </si>
  <si>
    <t>P-TZ-HA0-005</t>
  </si>
  <si>
    <t>Access Bank of Tanzania Technical Assistance FAPA Grant</t>
  </si>
  <si>
    <t>P-NG-HAB-013</t>
  </si>
  <si>
    <t>Nigeria - Line of Credit to Zenith Bank Plc under the Emergency Liquidity Facility</t>
  </si>
  <si>
    <t>P-NG-HAB-014</t>
  </si>
  <si>
    <t>Nigeria - Line of Credit to the United Bank for Africa Plc under the Emergency Liquidity Facility</t>
  </si>
  <si>
    <t>P-NG-HAB-015</t>
  </si>
  <si>
    <t>Nigeria - Line of Credit to the United Bank for Africa Plc under the Trade Finance Initiative</t>
  </si>
  <si>
    <t>P-ZM-HB0-002</t>
  </si>
  <si>
    <t>Zambia - Technical Assistance Project for Zambia Pulse Financial Services</t>
  </si>
  <si>
    <t>P-Z1-HAA-017</t>
  </si>
  <si>
    <t>Multinational - Line of Credit to the Company for Habitat and Housing in Africa ("Shelter-Afrique")</t>
  </si>
  <si>
    <t>African Financing Partnership (AFP)</t>
  </si>
  <si>
    <t>Collaboration en matière de réforme budgétaire africaine (CABRI)</t>
  </si>
  <si>
    <t>P-ZM-HAB-001</t>
  </si>
  <si>
    <t>Zambia - FAPA  Technical Assistance for Zambian Small and medium-sized enterprises (SMEs)</t>
  </si>
  <si>
    <t>P-LR-H00-001</t>
  </si>
  <si>
    <t>Liberia - Technical Assistance for Access Bank</t>
  </si>
  <si>
    <t>P-ZM-HAZ-001</t>
  </si>
  <si>
    <t>Zambia - Partial Credit Guarantee Facility to Zambia National Commercial Bank Plc</t>
  </si>
  <si>
    <t>P-ZM-HAZ-002</t>
  </si>
  <si>
    <t>Zambia - Line of Credit to Investrust Bank Plc</t>
  </si>
  <si>
    <t>P-ZA-HA0-001</t>
  </si>
  <si>
    <t>South Africa - Line of Credit to Standard Bank of South Africa</t>
  </si>
  <si>
    <t>P-ZA-HA0-002</t>
  </si>
  <si>
    <t>South Africa - Line of Credit to Nedbank Limited</t>
  </si>
  <si>
    <t>P-GH-HAB-001</t>
  </si>
  <si>
    <t xml:space="preserve">Ghana - Line of Credit to CAL Bank Limited </t>
  </si>
  <si>
    <t>P-MR-HAB-003</t>
  </si>
  <si>
    <t>Mauritania - Line of Credit to the "Banque pour le Commerce et l'Industrie"</t>
  </si>
  <si>
    <t>P-MR-HAB-004</t>
  </si>
  <si>
    <t>Mauritania - Line of Credit to Mauritania Leasing</t>
  </si>
  <si>
    <t>P-Z1-HZ0-001</t>
  </si>
  <si>
    <t>Multinational - West African Monetary Zone Payment System Development Project (The Gambia, Guinea and Sierra Leone)</t>
  </si>
  <si>
    <t>P-Z1-HAA-016</t>
  </si>
  <si>
    <t>Multinational - Third Line of Credit to the Eastern and Southern African Trade and development Bank (PTA Bank)</t>
  </si>
  <si>
    <t>P-CD-HA0-001</t>
  </si>
  <si>
    <t>Advans Banque (Congo)</t>
  </si>
  <si>
    <t>P-Z1-HAA-013</t>
  </si>
  <si>
    <t>Banque ouest africaine de développement (BOAD), assitance technique, FAPA</t>
  </si>
  <si>
    <t>P-Z1-HAA-012</t>
  </si>
  <si>
    <t>Multinational - Third Line of Credit to the West African Development Bank (BOAD)</t>
  </si>
  <si>
    <t>P-CM-HAB-001</t>
  </si>
  <si>
    <t>Cameroon - Growth-Oriented Women Enterprises Development Programme
(GOWE)</t>
  </si>
  <si>
    <t>Cameroon</t>
  </si>
  <si>
    <t>P-Z1-HAA-028</t>
  </si>
  <si>
    <t>Multinational - Shelter-Afrique</t>
  </si>
  <si>
    <t>P-EG-HAB-005</t>
  </si>
  <si>
    <t>Institutionnal Support to National Bank of Egypt (Mic)</t>
  </si>
  <si>
    <t>P-NG-HAB-006</t>
  </si>
  <si>
    <t>Nigeria - Second Line of Credit to Zenith Bank PLC</t>
  </si>
  <si>
    <t>P-NG-HAB-007</t>
  </si>
  <si>
    <t>Line of Credit to Access Bank Plc - Nigeria</t>
  </si>
  <si>
    <t>P-EG-HZ0-001</t>
  </si>
  <si>
    <t>Egypt - Financial Sector Reform Programme (FRSP-1)</t>
  </si>
  <si>
    <t>P-ZA-HAA-008</t>
  </si>
  <si>
    <t>South Africa - Fourth Line of Credit to DBSA - Development Bank of Southern Africa</t>
  </si>
  <si>
    <t>P-NG-HAB-005</t>
  </si>
  <si>
    <t>LOC to Guarantee Trust Bank</t>
  </si>
  <si>
    <t>P-EG-HAB-010</t>
  </si>
  <si>
    <t>Sme Support Project - Second Line of Credit to National Bank of Egypt (2nd LOC Nbe)</t>
  </si>
  <si>
    <t>P-MZ-HZ0-001</t>
  </si>
  <si>
    <t>Financial Sector Technical Assistance Project (Fstap)</t>
  </si>
  <si>
    <t>P-TN-HAA-030</t>
  </si>
  <si>
    <t>Tunisia - Competitiveness Support Programme III (PAC III)</t>
  </si>
  <si>
    <t>P-NG-HAB-004</t>
  </si>
  <si>
    <t>Line of Credit to Zenith Bank Plc</t>
  </si>
  <si>
    <t>P-ZA-HAA-006</t>
  </si>
  <si>
    <t>South Africa - Non-Sovereign Guaranteed Line of Credit Agreement</t>
  </si>
  <si>
    <t>P-BW-HAA-001</t>
  </si>
  <si>
    <t>LOC to The National Development Bank (Ndb)</t>
  </si>
  <si>
    <t>P-NA-HAA-003</t>
  </si>
  <si>
    <t>Third Line of Credit to Agribank</t>
  </si>
  <si>
    <t>P-Z1-HAA-005</t>
  </si>
  <si>
    <t>Multinational - PTA Bank First Line of Credit and Technical Assistance Support</t>
  </si>
  <si>
    <t>P-Z1-HAA-009</t>
  </si>
  <si>
    <t>East African Development Bank (Eadb) Line of Credit &amp; Technical Assistance</t>
  </si>
  <si>
    <t>P-TN-HB0-001</t>
  </si>
  <si>
    <t>Tunisia - Line of Credit to Tunisie Leasing (TL)</t>
  </si>
  <si>
    <t>P-TN-HAA-028</t>
  </si>
  <si>
    <t>Tunisia - Second Line of Credit to “Banque de l’Habitat”</t>
  </si>
  <si>
    <t>P-ZA-HAA-003</t>
  </si>
  <si>
    <t>South Africa - Third Line of Credit to the Development Bank of Southern Africa Limited (DBSA)</t>
  </si>
  <si>
    <t>P-TG-HA0-003</t>
  </si>
  <si>
    <t>Togo - Line of Credit to Ecobank Transnational Incorporated (ETI)</t>
  </si>
  <si>
    <t>P-TN-HAA-027</t>
  </si>
  <si>
    <t>Tunisia - Fourth Line of Credit to Investment Bank of Tunisia and the Emirates (BTEI)</t>
  </si>
  <si>
    <t>P-MA-HA0-001</t>
  </si>
  <si>
    <t>Fourth Financial Sector Support Programme (PASFI IV)</t>
  </si>
  <si>
    <t>P-MR-HAB-001</t>
  </si>
  <si>
    <t>Ligne de Crédit à la Générale de Banques de Mauritanie (GBM)</t>
  </si>
  <si>
    <t>P-EG-HAA-009</t>
  </si>
  <si>
    <t>Line of Credit to Edbe</t>
  </si>
  <si>
    <t>P-EG-HAB-003</t>
  </si>
  <si>
    <t>Line of Credit to Nbe</t>
  </si>
  <si>
    <t>P-Z1-HAA-008</t>
  </si>
  <si>
    <t>Multinational - Project to reform system and means of payment in UEMOA countries</t>
  </si>
  <si>
    <t>P-GH-HA0-006</t>
  </si>
  <si>
    <t>Line of Credit to Cal Merchant Bank</t>
  </si>
  <si>
    <t>P-TN-HAB-002</t>
  </si>
  <si>
    <t>Tunisia - Line of Credit to “Banque de Tunisie”</t>
  </si>
  <si>
    <t>P-TN-HAA-025</t>
  </si>
  <si>
    <t>Tunisia - Line of Credit to “Banque de l’Habitat”</t>
  </si>
  <si>
    <t>P-MZ-HAA-001</t>
  </si>
  <si>
    <t>Line of Credit to Support Small and Medium Enterprises</t>
  </si>
  <si>
    <t>P-TN-HA0-004</t>
  </si>
  <si>
    <t>Tunisia - Competitiveness Support Programme II (PAC II)</t>
  </si>
  <si>
    <t>P-EG-HAB-002</t>
  </si>
  <si>
    <t>Egypt - Line of Credit  to the Suez Canal Bank of Egypt</t>
  </si>
  <si>
    <t>P-NG-HAB-002</t>
  </si>
  <si>
    <t>Line of Credit to Fedelity Bank (Former Fsb)</t>
  </si>
  <si>
    <t>P-NA-HAA-002</t>
  </si>
  <si>
    <t>Second Line of Credit to Agribank</t>
  </si>
  <si>
    <t>P-NG-HA0-001</t>
  </si>
  <si>
    <t>Nigeria - Line of Credit to United Bank for Africa Plc</t>
  </si>
  <si>
    <t>P-TN-HAA-024</t>
  </si>
  <si>
    <t>Tunisia - Fourth Line of Credit to Tuniso-Kuwaiti Development Bank (BTKD)</t>
  </si>
  <si>
    <t>P-RW-HAA-002</t>
  </si>
  <si>
    <t>Rwanda - Third Line of Credit to the Rwandan Development Bank</t>
  </si>
  <si>
    <t>P-GH-H00-001</t>
  </si>
  <si>
    <t>Ghana - Rural Financial Services Project</t>
  </si>
  <si>
    <t>P-ZA-HAA-001</t>
  </si>
  <si>
    <t>South Africa - Line of Credit to the Industrial Development Corporation of South Africa Limited (IDC)</t>
  </si>
  <si>
    <t>P-TN-HAA-023</t>
  </si>
  <si>
    <t>Tunisia - Seventh Line of Credit to the « Banque de Développement économique de la Tunisie (BDET) »</t>
  </si>
  <si>
    <t>P-NA-HAA-001</t>
  </si>
  <si>
    <t>Namibia - First Line of Credit to Agribank</t>
  </si>
  <si>
    <t>P-ZA-HAA-002</t>
  </si>
  <si>
    <t>South Africa - Second Line of Credit to the Development Bank of Southern Africa Limited (DBSA)</t>
  </si>
  <si>
    <t>P-Z1-HAA-007</t>
  </si>
  <si>
    <t>Multinational - Sixth Line of Credit to East African Development Bank (EADB)</t>
  </si>
  <si>
    <t>P-SC-HAA-003</t>
  </si>
  <si>
    <t>Third Line of Credit to The Dbs</t>
  </si>
  <si>
    <t>P-TN-HA0-003</t>
  </si>
  <si>
    <t>Tunisia - Competitiveness Support Programme I (PAC I)</t>
  </si>
  <si>
    <t>P-MA-H00-001</t>
  </si>
  <si>
    <t>Institutional Saving Developmt Programme</t>
  </si>
  <si>
    <t>P-TN-HAA-022</t>
  </si>
  <si>
    <t>Tunisia - Sixth Line of Credit to Banque Nationale de Développement Touristique (BNDT)</t>
  </si>
  <si>
    <t>P-MR-HZ0-002</t>
  </si>
  <si>
    <t>Programme Gestion Ressources Publiques</t>
  </si>
  <si>
    <t>P-MW-HA0-002</t>
  </si>
  <si>
    <t>Malawi - Investment and Development Bank (INDEBANK) First Line of Credit</t>
  </si>
  <si>
    <t>Malawi</t>
  </si>
  <si>
    <t>P-DZ-HAA-001</t>
  </si>
  <si>
    <t>Algeria - Second Line of Credit to Crédit Populaire d'Algérie (CPA)</t>
  </si>
  <si>
    <t>P-MA-HZ0-001</t>
  </si>
  <si>
    <t>Programme d'ajustement du secteur financier (III)</t>
  </si>
  <si>
    <t>P-LS-HB0-001</t>
  </si>
  <si>
    <t>Lesotho - Second Line of Credit to Lesotho National Development Corporation (LNDC)</t>
  </si>
  <si>
    <t>Lesotho</t>
  </si>
  <si>
    <t>Nigerian Trust Fund</t>
  </si>
  <si>
    <t>P-Z1-HAA-002</t>
  </si>
  <si>
    <t>Fifth Lign of credit to East African Development  Bank</t>
  </si>
  <si>
    <t>P-TN-HAA-017</t>
  </si>
  <si>
    <t>3ème ligne de crédit à la  Banque tuniso-koweïtienne (BTK)</t>
  </si>
  <si>
    <t>P-TN-HAA-018</t>
  </si>
  <si>
    <t>3ème Ligne de Crédit à la Société Tuniso-Saoudienne d'Investissement et de Développement (STUSID)</t>
  </si>
  <si>
    <t>P-TN-HAA-019</t>
  </si>
  <si>
    <t>3ème Ligne de Crédit à la Banque tuniso-qatarie d'investissement (BTQI)</t>
  </si>
  <si>
    <t>P-TN-HAA-021</t>
  </si>
  <si>
    <t>3ème ligne de crédit à la Banque de Tunisie et des Emirats d'investissements (BTEI)</t>
  </si>
  <si>
    <t>P-Z1-HAA-001</t>
  </si>
  <si>
    <t>Multinational - Line of Credit to Pta Bank</t>
  </si>
  <si>
    <t>P-MZ-HA0-002</t>
  </si>
  <si>
    <t>C. Facility for Small Enterprises Study</t>
  </si>
  <si>
    <t>P-TN-HAA-004</t>
  </si>
  <si>
    <t>6ème Ligne de Crédit à la Banque de développement économique de Tunisie (BDET)</t>
  </si>
  <si>
    <t>P-MA-HAA-008</t>
  </si>
  <si>
    <t xml:space="preserve">Sixth Line of Credit to the BNDE
</t>
  </si>
  <si>
    <t>P-TZ-HAZ-001</t>
  </si>
  <si>
    <t>Financial Sector Adjustment Programme</t>
  </si>
  <si>
    <t>P-MA-HAZ-001</t>
  </si>
  <si>
    <t>Programme d'ajustement du secteur financier (I)</t>
  </si>
  <si>
    <t>P-TN-HAA-010</t>
  </si>
  <si>
    <t>4ème Ligne de Crédit à la Banque nationale de développement touristique (BNDT)</t>
  </si>
  <si>
    <t>P-MZ-HA0-001</t>
  </si>
  <si>
    <t>Mozambique - Institutional Support Project to Banco Poprrlar de Desenvolvimento (BPD)</t>
  </si>
  <si>
    <t>P-MA-HA0-002</t>
  </si>
  <si>
    <t>Ligne de Crédit à la Banque Centrale Populaire (BCP)</t>
  </si>
  <si>
    <t>P-MA-HA0-003</t>
  </si>
  <si>
    <t>Ligne de Crédit à la Banque Commerciale du Maroc (BCM)</t>
  </si>
  <si>
    <t>P-MA-HAA-006</t>
  </si>
  <si>
    <t>Ligne de Crédit au Crédit Immobilier et hôtelier (CIH)</t>
  </si>
  <si>
    <t>P-MA-HAA-009</t>
  </si>
  <si>
    <t>Ligne de Crédit à la Banque Centrale Populaire (BCP); à la Banque marocaine du commerce extérieur (BMCE); et à la Banque commerciale du maroc (BCM)</t>
  </si>
  <si>
    <t>P-SC-HAA-001</t>
  </si>
  <si>
    <t>Line of Credit II to D.B.S</t>
  </si>
  <si>
    <t>P-MR-HZ0-001</t>
  </si>
  <si>
    <t>Projet de réhabilitation des entreprises publiques</t>
  </si>
  <si>
    <t>P-TN-HAA-007</t>
  </si>
  <si>
    <t>2ème Ligne de Crédit à la Banque de Tunisie et des Emirats d'Investissements (BTEI)</t>
  </si>
  <si>
    <t>P-TN-HAA-008</t>
  </si>
  <si>
    <t>2ème Ligne de Crédit à la Société Tuniso-Saoudienne d'Investissement et de Développement (STUSID)</t>
  </si>
  <si>
    <t>P-TN-HAA-009</t>
  </si>
  <si>
    <t>2ème ligne de crédit à la Banque tuniso-qatarie d'investissement</t>
  </si>
  <si>
    <t>P-TN-HAA-014</t>
  </si>
  <si>
    <t>2ème ligne de crédit à la  Banque tuniso-koweïtienne (BTK)</t>
  </si>
  <si>
    <t>P-SD-HAA-002</t>
  </si>
  <si>
    <t>Institutional Support to the industrial Bank of Sudan</t>
  </si>
  <si>
    <t>Sudan</t>
  </si>
  <si>
    <t>P-UG-HAA-001</t>
  </si>
  <si>
    <t>Small &amp; Medium Scale Entreprises Development (LOC to Uganda Development Bank)</t>
  </si>
  <si>
    <t>P-TN-HAA-005</t>
  </si>
  <si>
    <t>5ème Ligne de Crédit à la Banque de développement économique de Tunisie (BDET)</t>
  </si>
  <si>
    <t>P-TN-HAA-006</t>
  </si>
  <si>
    <t>3ème Ligne de Crédit à la Banque nationale de développement touristique (BNDT)</t>
  </si>
  <si>
    <t>P-ZW-HA0-001</t>
  </si>
  <si>
    <t>Institutional Support to Zdb</t>
  </si>
  <si>
    <t>P-ML-HA0-002</t>
  </si>
  <si>
    <t>Projet d'assistance technique à la Banque de développement du Mali (BDM)</t>
  </si>
  <si>
    <t>P-AO-HA0-001</t>
  </si>
  <si>
    <t>Angola - Institutional Support to the B.N.A. - Grant</t>
  </si>
  <si>
    <t>P-RW-HA0-002</t>
  </si>
  <si>
    <t>Ligne de crédit à la Banque Rwandaise de Développement</t>
  </si>
  <si>
    <t>P-NG-H00-001</t>
  </si>
  <si>
    <t>Nidb Line of Credit</t>
  </si>
  <si>
    <t>P-TD-HA0-002</t>
  </si>
  <si>
    <t>Appui Institutionnel à la Banque de développement du Tchad (BDT)</t>
  </si>
  <si>
    <t>Chad</t>
  </si>
  <si>
    <t>P-MZ-HA0-003</t>
  </si>
  <si>
    <t>B.P.D Institutional Support (Grant)</t>
  </si>
  <si>
    <t>P-DZ-HAB-001</t>
  </si>
  <si>
    <t>Algeria - Line of credit in the industry sector</t>
  </si>
  <si>
    <t>P-MR-HAZ-001</t>
  </si>
  <si>
    <t>Programme d'ajustement Structurel</t>
  </si>
  <si>
    <t>P-TN-HAA-011</t>
  </si>
  <si>
    <t>1ère ligne de crédit à la Banque de Tunisie et des Emirats d'investissements (BTEI)</t>
  </si>
  <si>
    <t>P-TN-HAA-012</t>
  </si>
  <si>
    <t>1ère ligne de crédit à la  Banque tuniso-koweïtienne (BTK)</t>
  </si>
  <si>
    <t>P-TN-HAA-013</t>
  </si>
  <si>
    <t>Ligne de Crédit à la Banque tuniso-qatarie d'investissement (BTQI)</t>
  </si>
  <si>
    <t>P-TN-HAA-015</t>
  </si>
  <si>
    <t>2ème Ligne de Crédit à la Banque nationale de développement touristique (BNDT)</t>
  </si>
  <si>
    <t>P-TN-HAA-016</t>
  </si>
  <si>
    <t>Ligne de Crédit à la Société Tuniso-Saoudienne d'Investissement et de Développement (STUSID)</t>
  </si>
  <si>
    <t>P-Z1-HA0-001</t>
  </si>
  <si>
    <t>Ligne de Crédit au Fonds CEDEAO</t>
  </si>
  <si>
    <t>P-MU-HA0-002</t>
  </si>
  <si>
    <t>Line of Credit III</t>
  </si>
  <si>
    <t>P-ZR-HA0-004</t>
  </si>
  <si>
    <t>Ligne de Crédit Agricole</t>
  </si>
  <si>
    <t>Ex Zaire</t>
  </si>
  <si>
    <t>P-UG-HA0-001</t>
  </si>
  <si>
    <t>Agricultural Line of Credit to Ucb (P)</t>
  </si>
  <si>
    <t>P-CF-HA0-001</t>
  </si>
  <si>
    <t>Central African Republic</t>
  </si>
  <si>
    <t>P-DJ-HAB-001</t>
  </si>
  <si>
    <t>Ligne de Crédit I</t>
  </si>
  <si>
    <t>Djibouti</t>
  </si>
  <si>
    <t>P-TN-HZ0-001</t>
  </si>
  <si>
    <t>Programme d'ajustement  dans le Secteur Industriel</t>
  </si>
  <si>
    <t>P-KE-HAA-002</t>
  </si>
  <si>
    <t>Lign of credit to Kenya Industrial Estates (K.I.E)</t>
  </si>
  <si>
    <t>P-SD-HAA-001</t>
  </si>
  <si>
    <t>Line of Credit to Ibs</t>
  </si>
  <si>
    <t>P-MA-HAA-005</t>
  </si>
  <si>
    <t>Fifth Line of Credit to the "Banque Nationale pour le Développement Economique"</t>
  </si>
  <si>
    <t>P-LS-HA0-001</t>
  </si>
  <si>
    <t>Rural C. &amp; Banking Facilities (ADF)</t>
  </si>
  <si>
    <t>P-SC-HA0-001</t>
  </si>
  <si>
    <t>Line of Credit</t>
  </si>
  <si>
    <t>P-MR-HAA-001</t>
  </si>
  <si>
    <t>Ligne de Crédit à l'Union des Banques de développement (UBD)</t>
  </si>
  <si>
    <t>P-ML-HA0-001</t>
  </si>
  <si>
    <t>Ligne de crédit à la Banque de développement du Mali (BDM)</t>
  </si>
  <si>
    <t>P-SO-H00-001</t>
  </si>
  <si>
    <t>Agricultural Line of Credit</t>
  </si>
  <si>
    <t>Somalia</t>
  </si>
  <si>
    <t>P-Z1-HAA-004</t>
  </si>
  <si>
    <t>Line of Credit IV to Eadb</t>
  </si>
  <si>
    <t>P-RW-HA0-001</t>
  </si>
  <si>
    <t>P-ZR-HA0-003</t>
  </si>
  <si>
    <t>Deuxième Ligne de Crédit Agricole</t>
  </si>
  <si>
    <t>P-EG-HAA-005</t>
  </si>
  <si>
    <t>Dib Fourth Line of Credit</t>
  </si>
  <si>
    <t>P-TN-HAA-002</t>
  </si>
  <si>
    <t xml:space="preserve">1ère Ligne de crédit à la Banque Nationale  Développement </t>
  </si>
  <si>
    <t>P-TN-HAA-003</t>
  </si>
  <si>
    <t>3ème Ligne de Crédit à la Banque de développement économique de Tunisie (BDET)</t>
  </si>
  <si>
    <t>P-KE-HAA-001</t>
  </si>
  <si>
    <t>Third Line of Credit to Idb (ADB)</t>
  </si>
  <si>
    <t>P-UG-H00-001</t>
  </si>
  <si>
    <t>Line of Credit II</t>
  </si>
  <si>
    <t>P-SO-HAA-001</t>
  </si>
  <si>
    <t>Lign of credit to the Somalia Development Bank</t>
  </si>
  <si>
    <t>P-BW-HA0-001</t>
  </si>
  <si>
    <t>Ndb Line of Credit I</t>
  </si>
  <si>
    <t>P-MU-HA0-001</t>
  </si>
  <si>
    <t>P-TN-HA0-002</t>
  </si>
  <si>
    <t>P-Z1-HAA-003</t>
  </si>
  <si>
    <t>Line of Credit III to Eadb</t>
  </si>
  <si>
    <t>P-ZR-HA0-002</t>
  </si>
  <si>
    <t>Ligne de Credit</t>
  </si>
  <si>
    <t>P-EG-HAA-004</t>
  </si>
  <si>
    <t>Line of Credit III to Dib (ADB)</t>
  </si>
  <si>
    <t>P-MA-HAA-004</t>
  </si>
  <si>
    <t>Ligne de Crédit (IV) à la Banque Nationale pour le Développement économique</t>
  </si>
  <si>
    <t>P-SD-HAZ-001</t>
  </si>
  <si>
    <t>L O C. to Agr. Bank O Soudan(ADF)</t>
  </si>
  <si>
    <t>P-ZR-HA0-001</t>
  </si>
  <si>
    <t>Ligne de Crédit (II)</t>
  </si>
  <si>
    <t>P-EG-HAA-001</t>
  </si>
  <si>
    <t>Ligne de Crédit II</t>
  </si>
  <si>
    <t>P-TN-HAA-001</t>
  </si>
  <si>
    <t>2ème Ligne de Crédit à la Banque de développement économique de Tunisie (BDET)</t>
  </si>
  <si>
    <t>P-UG-HAA-002</t>
  </si>
  <si>
    <t>Line of Credit I (P)</t>
  </si>
  <si>
    <t>P-LS-HA0-002</t>
  </si>
  <si>
    <t>P-CG-HA0-001</t>
  </si>
  <si>
    <t>Ligne de Crédit à la Banque Nationale de Développement du Congo (BNDC)</t>
  </si>
  <si>
    <t>Congo</t>
  </si>
  <si>
    <t>P-KE-HA0-001</t>
  </si>
  <si>
    <t>P-CM-HA0-001</t>
  </si>
  <si>
    <t>Ligne de Crédit à la Banque Camerounaise de Développement (BCD)</t>
  </si>
  <si>
    <t>P-MA-HAA-003</t>
  </si>
  <si>
    <t>Bnde III (Ligne de Credit)</t>
  </si>
  <si>
    <t>P-SL-HA0-002</t>
  </si>
  <si>
    <t>Line of Credit to Ndb II</t>
  </si>
  <si>
    <t>P-NE-HA0-001</t>
  </si>
  <si>
    <t>P-EG-HAA-002</t>
  </si>
  <si>
    <t>Lign of credit to the  Industrial Development Bank of Egypt</t>
  </si>
  <si>
    <t>P-MA-HAA-002</t>
  </si>
  <si>
    <t>Deuxième Ligne de Crédit à Banque Nationale pour le Développement économique</t>
  </si>
  <si>
    <t>P-TN-HA0-001</t>
  </si>
  <si>
    <t>1ere Ligne de Crédit à la Banque de développement économique de Tunisie (BDET)</t>
  </si>
  <si>
    <t>P-SL-HA0-001</t>
  </si>
  <si>
    <t>Line of Credit to Ndb I</t>
  </si>
  <si>
    <t>P-BI-H00-001</t>
  </si>
  <si>
    <t>Ligne de Crédit</t>
  </si>
  <si>
    <t>Burundi</t>
  </si>
  <si>
    <t>P-MA-HAA-001</t>
  </si>
  <si>
    <t>1ère Ligne de Crédit à la Banque Nationale pour le Développement économique</t>
  </si>
  <si>
    <t>P-MW-HA0-001</t>
  </si>
  <si>
    <t>Malawi Development Corporation</t>
  </si>
  <si>
    <t>Sum of Commitment in U.A</t>
  </si>
  <si>
    <t>Row Labels</t>
  </si>
  <si>
    <t>Grand Total</t>
  </si>
  <si>
    <t>Count of Country</t>
  </si>
  <si>
    <t>Count of Project Code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</si>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</sst>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_);_(* \(#,##0.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 fontId="0" fillId="0" borderId="0" xfId="0" applyNumberFormat="1"/>
    <xf numFmtId="15"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0" fontId="0" fillId="0" borderId="0" xfId="1" applyNumberFormat="1" applyFont="1"/>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numFmt numFmtId="0" formatCode="General"/>
    </dxf>
    <dxf>
      <numFmt numFmtId="20" formatCode="d\-mmm\-yy"/>
    </dxf>
    <dxf>
      <numFmt numFmtId="4" formatCode="#,##0.00"/>
    </dxf>
    <dxf>
      <numFmt numFmtId="164" formatCode="_(* #,##0.0_);_(* \(#,##0.0\);_(* &quot;-&quot;??_);_(@_)"/>
    </dxf>
    <dxf>
      <numFmt numFmtId="0" formatCode="General"/>
    </dxf>
    <dxf>
      <numFmt numFmtId="164" formatCode="_(* #,##0.0_);_(* \(#,##0.0\);_(* &quot;-&quot;??_);_(@_)"/>
    </dxf>
    <dxf>
      <numFmt numFmtId="164"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[finance1.xlsx]Analysis!PivotTable37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Countries By Funding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Analysis!$A$4:$A$45</c:f>
              <c:strCache>
                <c:ptCount val="41"/>
                <c:pt idx="0">
                  <c:v>Algeria</c:v>
                </c:pt>
                <c:pt idx="1">
                  <c:v>Angola</c:v>
                </c:pt>
                <c:pt idx="2">
                  <c:v>Botswana</c:v>
                </c:pt>
                <c:pt idx="3">
                  <c:v>Burkina Faso</c:v>
                </c:pt>
                <c:pt idx="4">
                  <c:v>Burundi</c:v>
                </c:pt>
                <c:pt idx="5">
                  <c:v>Cameroon</c:v>
                </c:pt>
                <c:pt idx="6">
                  <c:v>Congo</c:v>
                </c:pt>
                <c:pt idx="7">
                  <c:v>Congo, the Democratic Republic of the</c:v>
                </c:pt>
                <c:pt idx="8">
                  <c:v>Cote d'Ivoire</c:v>
                </c:pt>
                <c:pt idx="9">
                  <c:v>Egypt</c:v>
                </c:pt>
                <c:pt idx="10">
                  <c:v>Eswatini</c:v>
                </c:pt>
                <c:pt idx="11">
                  <c:v>Ethiopia</c:v>
                </c:pt>
                <c:pt idx="12">
                  <c:v>Ex Zaire</c:v>
                </c:pt>
                <c:pt idx="13">
                  <c:v>Ghana</c:v>
                </c:pt>
                <c:pt idx="14">
                  <c:v>Guinea</c:v>
                </c:pt>
                <c:pt idx="15">
                  <c:v>Kenya</c:v>
                </c:pt>
                <c:pt idx="16">
                  <c:v>Liberia</c:v>
                </c:pt>
                <c:pt idx="17">
                  <c:v>Madagascar</c:v>
                </c:pt>
                <c:pt idx="18">
                  <c:v>Malawi</c:v>
                </c:pt>
                <c:pt idx="19">
                  <c:v>Mali</c:v>
                </c:pt>
                <c:pt idx="20">
                  <c:v>Mauritania</c:v>
                </c:pt>
                <c:pt idx="21">
                  <c:v>Mauritius</c:v>
                </c:pt>
                <c:pt idx="22">
                  <c:v>Morocco</c:v>
                </c:pt>
                <c:pt idx="23">
                  <c:v>Mozambique</c:v>
                </c:pt>
                <c:pt idx="24">
                  <c:v>Multinational</c:v>
                </c:pt>
                <c:pt idx="25">
                  <c:v>Namibia</c:v>
                </c:pt>
                <c:pt idx="26">
                  <c:v>Niger</c:v>
                </c:pt>
                <c:pt idx="27">
                  <c:v>Nigeria</c:v>
                </c:pt>
                <c:pt idx="28">
                  <c:v>Rwanda</c:v>
                </c:pt>
                <c:pt idx="29">
                  <c:v>Senegal</c:v>
                </c:pt>
                <c:pt idx="30">
                  <c:v>Seychelles</c:v>
                </c:pt>
                <c:pt idx="31">
                  <c:v>Sierra Leone</c:v>
                </c:pt>
                <c:pt idx="32">
                  <c:v>Somalia</c:v>
                </c:pt>
                <c:pt idx="33">
                  <c:v>South Africa</c:v>
                </c:pt>
                <c:pt idx="34">
                  <c:v>South Sudan</c:v>
                </c:pt>
                <c:pt idx="35">
                  <c:v>Tanzania, United Republic of</c:v>
                </c:pt>
                <c:pt idx="36">
                  <c:v>Togo</c:v>
                </c:pt>
                <c:pt idx="37">
                  <c:v>Tunisia</c:v>
                </c:pt>
                <c:pt idx="38">
                  <c:v>Uganda</c:v>
                </c:pt>
                <c:pt idx="39">
                  <c:v>Zambia</c:v>
                </c:pt>
                <c:pt idx="40">
                  <c:v>Zimbabwe</c:v>
                </c:pt>
              </c:strCache>
            </c:strRef>
          </c:cat>
          <c:val>
            <c:numRef>
              <c:f>Analysis!$B$4:$B$45</c:f>
              <c:numCache>
                <c:formatCode>#,##0.00</c:formatCode>
                <c:ptCount val="41"/>
                <c:pt idx="0">
                  <c:v>126883350.63</c:v>
                </c:pt>
                <c:pt idx="1">
                  <c:v>108414082.15000001</c:v>
                </c:pt>
                <c:pt idx="2">
                  <c:v>78889167.75999999</c:v>
                </c:pt>
                <c:pt idx="3">
                  <c:v>33902139.789999999</c:v>
                </c:pt>
                <c:pt idx="4">
                  <c:v>3975264.91</c:v>
                </c:pt>
                <c:pt idx="5">
                  <c:v>2146897.6800000002</c:v>
                </c:pt>
                <c:pt idx="6">
                  <c:v>3499965.2</c:v>
                </c:pt>
                <c:pt idx="7">
                  <c:v>22243118.079999998</c:v>
                </c:pt>
                <c:pt idx="8">
                  <c:v>1419605.1400000001</c:v>
                </c:pt>
                <c:pt idx="9">
                  <c:v>767501814.82000005</c:v>
                </c:pt>
                <c:pt idx="10">
                  <c:v>9701939.5399999991</c:v>
                </c:pt>
                <c:pt idx="11">
                  <c:v>226919.54</c:v>
                </c:pt>
                <c:pt idx="12">
                  <c:v>9823662.6199999992</c:v>
                </c:pt>
                <c:pt idx="13">
                  <c:v>38693370.219999999</c:v>
                </c:pt>
                <c:pt idx="14">
                  <c:v>5853901.2599999998</c:v>
                </c:pt>
                <c:pt idx="15">
                  <c:v>499552775.42000008</c:v>
                </c:pt>
                <c:pt idx="16">
                  <c:v>979288.91999999993</c:v>
                </c:pt>
                <c:pt idx="17">
                  <c:v>2500000</c:v>
                </c:pt>
                <c:pt idx="18">
                  <c:v>1485997.2</c:v>
                </c:pt>
                <c:pt idx="19">
                  <c:v>4617657.92</c:v>
                </c:pt>
                <c:pt idx="20">
                  <c:v>27983788.359999999</c:v>
                </c:pt>
                <c:pt idx="21">
                  <c:v>183973951.31</c:v>
                </c:pt>
                <c:pt idx="22">
                  <c:v>1395182670.3100002</c:v>
                </c:pt>
                <c:pt idx="23">
                  <c:v>34741437.049999997</c:v>
                </c:pt>
                <c:pt idx="24">
                  <c:v>1890662370.9400008</c:v>
                </c:pt>
                <c:pt idx="25">
                  <c:v>209495348.03999999</c:v>
                </c:pt>
                <c:pt idx="26">
                  <c:v>12908980.41</c:v>
                </c:pt>
                <c:pt idx="27">
                  <c:v>1467876372.1899996</c:v>
                </c:pt>
                <c:pt idx="28">
                  <c:v>49349316.499999993</c:v>
                </c:pt>
                <c:pt idx="29">
                  <c:v>11967257.58</c:v>
                </c:pt>
                <c:pt idx="30">
                  <c:v>4731562.6400000006</c:v>
                </c:pt>
                <c:pt idx="31">
                  <c:v>5947264.7800000003</c:v>
                </c:pt>
                <c:pt idx="32">
                  <c:v>4864872.43</c:v>
                </c:pt>
                <c:pt idx="33">
                  <c:v>1014944150.09</c:v>
                </c:pt>
                <c:pt idx="34">
                  <c:v>4800000</c:v>
                </c:pt>
                <c:pt idx="35">
                  <c:v>78965782.909999996</c:v>
                </c:pt>
                <c:pt idx="36">
                  <c:v>7670737.8700000001</c:v>
                </c:pt>
                <c:pt idx="37">
                  <c:v>1939790799.1400006</c:v>
                </c:pt>
                <c:pt idx="38">
                  <c:v>72897112.399999991</c:v>
                </c:pt>
                <c:pt idx="39">
                  <c:v>81237859.670000002</c:v>
                </c:pt>
                <c:pt idx="40">
                  <c:v>27930188.539999999</c:v>
                </c:pt>
              </c:numCache>
            </c:numRef>
          </c:val>
          <c:extLst>
            <c:ext xmlns:c16="http://schemas.microsoft.com/office/drawing/2014/chart" uri="{C3380CC4-5D6E-409C-BE32-E72D297353CC}">
              <c16:uniqueId val="{00000004-FC44-48EC-B0D0-D368A24D46EC}"/>
            </c:ext>
          </c:extLst>
        </c:ser>
        <c:dLbls>
          <c:showLegendKey val="0"/>
          <c:showVal val="0"/>
          <c:showCatName val="0"/>
          <c:showSerName val="0"/>
          <c:showPercent val="0"/>
          <c:showBubbleSize val="0"/>
        </c:dLbls>
        <c:gapWidth val="65"/>
        <c:axId val="1419765103"/>
        <c:axId val="1419772783"/>
      </c:barChart>
      <c:catAx>
        <c:axId val="14197651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9772783"/>
        <c:crosses val="autoZero"/>
        <c:auto val="1"/>
        <c:lblAlgn val="ctr"/>
        <c:lblOffset val="100"/>
        <c:noMultiLvlLbl val="0"/>
      </c:catAx>
      <c:valAx>
        <c:axId val="14197727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Amount</a:t>
                </a:r>
                <a:r>
                  <a:rPr lang="en-US" baseline="0"/>
                  <a:t> </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crossAx val="14197651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[finance1.xlsx]Analysis!PivotTable39</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800" b="1" i="0" u="none" strike="noStrike" cap="none" baseline="0">
                <a:solidFill>
                  <a:sysClr val="windowText" lastClr="000000"/>
                </a:solidFill>
              </a:rPr>
              <a:t>Year-wise Funding Trend</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2"/>
          <c:order val="0"/>
          <c:tx>
            <c:strRef>
              <c:f>Analysis!$H$3</c:f>
              <c:strCache>
                <c:ptCount val="1"/>
                <c:pt idx="0">
                  <c:v>Count of Project Code</c:v>
                </c:pt>
              </c:strCache>
            </c:strRef>
          </c:tx>
          <c:spPr>
            <a:ln w="22225" cap="rnd" cmpd="sng" algn="ctr">
              <a:solidFill>
                <a:schemeClr val="accent3"/>
              </a:solidFill>
              <a:round/>
            </a:ln>
            <a:effectLst/>
          </c:spPr>
          <c:marker>
            <c:symbol val="none"/>
          </c:marker>
          <c:cat>
            <c:strRef>
              <c:f>Analysis!$G$4:$G$50</c:f>
              <c:strCache>
                <c:ptCount val="46"/>
                <c:pt idx="0">
                  <c:v>1972</c:v>
                </c:pt>
                <c:pt idx="1">
                  <c:v>1974</c:v>
                </c:pt>
                <c:pt idx="2">
                  <c:v>1976</c:v>
                </c:pt>
                <c:pt idx="3">
                  <c:v>1977</c:v>
                </c:pt>
                <c:pt idx="4">
                  <c:v>1978</c:v>
                </c:pt>
                <c:pt idx="5">
                  <c:v>1979</c:v>
                </c:pt>
                <c:pt idx="6">
                  <c:v>1980</c:v>
                </c:pt>
                <c:pt idx="7">
                  <c:v>1981</c:v>
                </c:pt>
                <c:pt idx="8">
                  <c:v>1982</c:v>
                </c:pt>
                <c:pt idx="9">
                  <c:v>1983</c:v>
                </c:pt>
                <c:pt idx="10">
                  <c:v>1984</c:v>
                </c:pt>
                <c:pt idx="11">
                  <c:v>1985</c:v>
                </c:pt>
                <c:pt idx="12">
                  <c:v>1986</c:v>
                </c:pt>
                <c:pt idx="13">
                  <c:v>1987</c:v>
                </c:pt>
                <c:pt idx="14">
                  <c:v>1988</c:v>
                </c:pt>
                <c:pt idx="15">
                  <c:v>1989</c:v>
                </c:pt>
                <c:pt idx="16">
                  <c:v>1990</c:v>
                </c:pt>
                <c:pt idx="17">
                  <c:v>1991</c:v>
                </c:pt>
                <c:pt idx="18">
                  <c:v>1992</c:v>
                </c:pt>
                <c:pt idx="19">
                  <c:v>1993</c:v>
                </c:pt>
                <c:pt idx="20">
                  <c:v>1994</c:v>
                </c:pt>
                <c:pt idx="21">
                  <c:v>1995</c:v>
                </c:pt>
                <c:pt idx="22">
                  <c:v>1996</c:v>
                </c:pt>
                <c:pt idx="23">
                  <c:v>1997</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strCache>
            </c:strRef>
          </c:cat>
          <c:val>
            <c:numRef>
              <c:f>Analysis!$H$4:$H$50</c:f>
              <c:numCache>
                <c:formatCode>General</c:formatCode>
                <c:ptCount val="46"/>
                <c:pt idx="0">
                  <c:v>1</c:v>
                </c:pt>
                <c:pt idx="1">
                  <c:v>3</c:v>
                </c:pt>
                <c:pt idx="2">
                  <c:v>2</c:v>
                </c:pt>
                <c:pt idx="3">
                  <c:v>3</c:v>
                </c:pt>
                <c:pt idx="4">
                  <c:v>1</c:v>
                </c:pt>
                <c:pt idx="5">
                  <c:v>3</c:v>
                </c:pt>
                <c:pt idx="6">
                  <c:v>3</c:v>
                </c:pt>
                <c:pt idx="7">
                  <c:v>3</c:v>
                </c:pt>
                <c:pt idx="8">
                  <c:v>4</c:v>
                </c:pt>
                <c:pt idx="9">
                  <c:v>2</c:v>
                </c:pt>
                <c:pt idx="10">
                  <c:v>4</c:v>
                </c:pt>
                <c:pt idx="11">
                  <c:v>1</c:v>
                </c:pt>
                <c:pt idx="12">
                  <c:v>1</c:v>
                </c:pt>
                <c:pt idx="13">
                  <c:v>1</c:v>
                </c:pt>
                <c:pt idx="14">
                  <c:v>8</c:v>
                </c:pt>
                <c:pt idx="15">
                  <c:v>2</c:v>
                </c:pt>
                <c:pt idx="16">
                  <c:v>4</c:v>
                </c:pt>
                <c:pt idx="17">
                  <c:v>9</c:v>
                </c:pt>
                <c:pt idx="18">
                  <c:v>2</c:v>
                </c:pt>
                <c:pt idx="19">
                  <c:v>2</c:v>
                </c:pt>
                <c:pt idx="20">
                  <c:v>6</c:v>
                </c:pt>
                <c:pt idx="21">
                  <c:v>1</c:v>
                </c:pt>
                <c:pt idx="22">
                  <c:v>1</c:v>
                </c:pt>
                <c:pt idx="23">
                  <c:v>2</c:v>
                </c:pt>
                <c:pt idx="24">
                  <c:v>5</c:v>
                </c:pt>
                <c:pt idx="25">
                  <c:v>4</c:v>
                </c:pt>
                <c:pt idx="26">
                  <c:v>4</c:v>
                </c:pt>
                <c:pt idx="27">
                  <c:v>8</c:v>
                </c:pt>
                <c:pt idx="28">
                  <c:v>6</c:v>
                </c:pt>
                <c:pt idx="29">
                  <c:v>3</c:v>
                </c:pt>
                <c:pt idx="30">
                  <c:v>4</c:v>
                </c:pt>
                <c:pt idx="31">
                  <c:v>4</c:v>
                </c:pt>
                <c:pt idx="32">
                  <c:v>2</c:v>
                </c:pt>
                <c:pt idx="33">
                  <c:v>13</c:v>
                </c:pt>
                <c:pt idx="34">
                  <c:v>9</c:v>
                </c:pt>
                <c:pt idx="35">
                  <c:v>7</c:v>
                </c:pt>
                <c:pt idx="36">
                  <c:v>13</c:v>
                </c:pt>
                <c:pt idx="37">
                  <c:v>8</c:v>
                </c:pt>
                <c:pt idx="38">
                  <c:v>13</c:v>
                </c:pt>
                <c:pt idx="39">
                  <c:v>13</c:v>
                </c:pt>
                <c:pt idx="40">
                  <c:v>7</c:v>
                </c:pt>
                <c:pt idx="41">
                  <c:v>21</c:v>
                </c:pt>
                <c:pt idx="42">
                  <c:v>12</c:v>
                </c:pt>
                <c:pt idx="43">
                  <c:v>7</c:v>
                </c:pt>
                <c:pt idx="44">
                  <c:v>23</c:v>
                </c:pt>
                <c:pt idx="45">
                  <c:v>7</c:v>
                </c:pt>
              </c:numCache>
            </c:numRef>
          </c:val>
          <c:smooth val="0"/>
          <c:extLst>
            <c:ext xmlns:c16="http://schemas.microsoft.com/office/drawing/2014/chart" uri="{C3380CC4-5D6E-409C-BE32-E72D297353CC}">
              <c16:uniqueId val="{00000008-96F4-4941-AA5E-2F9E122D0604}"/>
            </c:ext>
          </c:extLst>
        </c:ser>
        <c:ser>
          <c:idx val="3"/>
          <c:order val="1"/>
          <c:tx>
            <c:strRef>
              <c:f>Analysis!$I$3</c:f>
              <c:strCache>
                <c:ptCount val="1"/>
                <c:pt idx="0">
                  <c:v>Sum of Commitment in U.A</c:v>
                </c:pt>
              </c:strCache>
            </c:strRef>
          </c:tx>
          <c:spPr>
            <a:ln w="22225" cap="rnd" cmpd="sng" algn="ctr">
              <a:solidFill>
                <a:schemeClr val="accent4"/>
              </a:solidFill>
              <a:round/>
            </a:ln>
            <a:effectLst/>
          </c:spPr>
          <c:marker>
            <c:symbol val="none"/>
          </c:marker>
          <c:cat>
            <c:strRef>
              <c:f>Analysis!$G$4:$G$50</c:f>
              <c:strCache>
                <c:ptCount val="46"/>
                <c:pt idx="0">
                  <c:v>1972</c:v>
                </c:pt>
                <c:pt idx="1">
                  <c:v>1974</c:v>
                </c:pt>
                <c:pt idx="2">
                  <c:v>1976</c:v>
                </c:pt>
                <c:pt idx="3">
                  <c:v>1977</c:v>
                </c:pt>
                <c:pt idx="4">
                  <c:v>1978</c:v>
                </c:pt>
                <c:pt idx="5">
                  <c:v>1979</c:v>
                </c:pt>
                <c:pt idx="6">
                  <c:v>1980</c:v>
                </c:pt>
                <c:pt idx="7">
                  <c:v>1981</c:v>
                </c:pt>
                <c:pt idx="8">
                  <c:v>1982</c:v>
                </c:pt>
                <c:pt idx="9">
                  <c:v>1983</c:v>
                </c:pt>
                <c:pt idx="10">
                  <c:v>1984</c:v>
                </c:pt>
                <c:pt idx="11">
                  <c:v>1985</c:v>
                </c:pt>
                <c:pt idx="12">
                  <c:v>1986</c:v>
                </c:pt>
                <c:pt idx="13">
                  <c:v>1987</c:v>
                </c:pt>
                <c:pt idx="14">
                  <c:v>1988</c:v>
                </c:pt>
                <c:pt idx="15">
                  <c:v>1989</c:v>
                </c:pt>
                <c:pt idx="16">
                  <c:v>1990</c:v>
                </c:pt>
                <c:pt idx="17">
                  <c:v>1991</c:v>
                </c:pt>
                <c:pt idx="18">
                  <c:v>1992</c:v>
                </c:pt>
                <c:pt idx="19">
                  <c:v>1993</c:v>
                </c:pt>
                <c:pt idx="20">
                  <c:v>1994</c:v>
                </c:pt>
                <c:pt idx="21">
                  <c:v>1995</c:v>
                </c:pt>
                <c:pt idx="22">
                  <c:v>1996</c:v>
                </c:pt>
                <c:pt idx="23">
                  <c:v>1997</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strCache>
            </c:strRef>
          </c:cat>
          <c:val>
            <c:numRef>
              <c:f>Analysis!$I$4:$I$50</c:f>
              <c:numCache>
                <c:formatCode>#,##0.00</c:formatCode>
                <c:ptCount val="46"/>
                <c:pt idx="0">
                  <c:v>1485997.2</c:v>
                </c:pt>
                <c:pt idx="1">
                  <c:v>8887487.8300000001</c:v>
                </c:pt>
                <c:pt idx="2">
                  <c:v>5851738.4000000004</c:v>
                </c:pt>
                <c:pt idx="3">
                  <c:v>9006059.5</c:v>
                </c:pt>
                <c:pt idx="4">
                  <c:v>5000000</c:v>
                </c:pt>
                <c:pt idx="5">
                  <c:v>10291688.800000001</c:v>
                </c:pt>
                <c:pt idx="6">
                  <c:v>29602039.019999996</c:v>
                </c:pt>
                <c:pt idx="7">
                  <c:v>29420803.189999998</c:v>
                </c:pt>
                <c:pt idx="8">
                  <c:v>23935001.850000001</c:v>
                </c:pt>
                <c:pt idx="9">
                  <c:v>24838908.02</c:v>
                </c:pt>
                <c:pt idx="10">
                  <c:v>110265908.94999999</c:v>
                </c:pt>
                <c:pt idx="11">
                  <c:v>18064058.190000001</c:v>
                </c:pt>
                <c:pt idx="12">
                  <c:v>49996958.100000001</c:v>
                </c:pt>
                <c:pt idx="13">
                  <c:v>80000000</c:v>
                </c:pt>
                <c:pt idx="14">
                  <c:v>114205460.53</c:v>
                </c:pt>
                <c:pt idx="15">
                  <c:v>75273214.950000003</c:v>
                </c:pt>
                <c:pt idx="16">
                  <c:v>114297182.51000001</c:v>
                </c:pt>
                <c:pt idx="17">
                  <c:v>160001192.49000001</c:v>
                </c:pt>
                <c:pt idx="18">
                  <c:v>194999773.09</c:v>
                </c:pt>
                <c:pt idx="19">
                  <c:v>102366683.09</c:v>
                </c:pt>
                <c:pt idx="20">
                  <c:v>72446495.329999998</c:v>
                </c:pt>
                <c:pt idx="21">
                  <c:v>150000000</c:v>
                </c:pt>
                <c:pt idx="22">
                  <c:v>87461145.209999993</c:v>
                </c:pt>
                <c:pt idx="23">
                  <c:v>346737003.12</c:v>
                </c:pt>
                <c:pt idx="24">
                  <c:v>144429261.73000002</c:v>
                </c:pt>
                <c:pt idx="25">
                  <c:v>172313317.40000001</c:v>
                </c:pt>
                <c:pt idx="26">
                  <c:v>213351922.60000002</c:v>
                </c:pt>
                <c:pt idx="27">
                  <c:v>343103103.72000003</c:v>
                </c:pt>
                <c:pt idx="28">
                  <c:v>201130810.89000002</c:v>
                </c:pt>
                <c:pt idx="29">
                  <c:v>38477916.469999999</c:v>
                </c:pt>
                <c:pt idx="30">
                  <c:v>310802781.81999999</c:v>
                </c:pt>
                <c:pt idx="31">
                  <c:v>517634018.73000002</c:v>
                </c:pt>
                <c:pt idx="32">
                  <c:v>964747.60000000009</c:v>
                </c:pt>
                <c:pt idx="33">
                  <c:v>340638425.88000005</c:v>
                </c:pt>
                <c:pt idx="34">
                  <c:v>292357687.18000007</c:v>
                </c:pt>
                <c:pt idx="35">
                  <c:v>325932009.93000001</c:v>
                </c:pt>
                <c:pt idx="36">
                  <c:v>614214021.96999991</c:v>
                </c:pt>
                <c:pt idx="37">
                  <c:v>259240673.5</c:v>
                </c:pt>
                <c:pt idx="38">
                  <c:v>373469415.48000002</c:v>
                </c:pt>
                <c:pt idx="39">
                  <c:v>814304787.36999989</c:v>
                </c:pt>
                <c:pt idx="40">
                  <c:v>372883161.69</c:v>
                </c:pt>
                <c:pt idx="41">
                  <c:v>1347961603.6300001</c:v>
                </c:pt>
                <c:pt idx="42">
                  <c:v>655666636.87</c:v>
                </c:pt>
                <c:pt idx="43">
                  <c:v>162634531.21000001</c:v>
                </c:pt>
                <c:pt idx="44">
                  <c:v>877966854.18999994</c:v>
                </c:pt>
                <c:pt idx="45">
                  <c:v>46320252.729999997</c:v>
                </c:pt>
              </c:numCache>
            </c:numRef>
          </c:val>
          <c:smooth val="0"/>
          <c:extLst>
            <c:ext xmlns:c16="http://schemas.microsoft.com/office/drawing/2014/chart" uri="{C3380CC4-5D6E-409C-BE32-E72D297353CC}">
              <c16:uniqueId val="{00000009-96F4-4941-AA5E-2F9E122D060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834784975"/>
        <c:axId val="1834791695"/>
      </c:lineChart>
      <c:catAx>
        <c:axId val="18347849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34791695"/>
        <c:crosses val="autoZero"/>
        <c:auto val="1"/>
        <c:lblAlgn val="ctr"/>
        <c:lblOffset val="100"/>
        <c:noMultiLvlLbl val="0"/>
      </c:catAx>
      <c:valAx>
        <c:axId val="183479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34784975"/>
        <c:crosses val="autoZero"/>
        <c:crossBetween val="between"/>
      </c:valAx>
      <c:spPr>
        <a:solidFill>
          <a:schemeClr val="accent3">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accent3">
        <a:lumMod val="40000"/>
        <a:lumOff val="60000"/>
      </a:schemeClr>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[finance1.xlsx]Analysis!PivotTable38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Project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1"/>
          <c:order val="0"/>
          <c:tx>
            <c:strRef>
              <c:f>Analysis!$E$3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45-4C9A-B2AF-4A95EF6E20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45-4C9A-B2AF-4A95EF6E20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45-4C9A-B2AF-4A95EF6E20F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45-4C9A-B2AF-4A95EF6E20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Analysis!$D$4:$D$8</c:f>
              <c:strCache>
                <c:ptCount val="4"/>
                <c:pt idx="0">
                  <c:v>Approved</c:v>
                </c:pt>
                <c:pt idx="1">
                  <c:v>Cancelled</c:v>
                </c:pt>
                <c:pt idx="2">
                  <c:v>Completion</c:v>
                </c:pt>
                <c:pt idx="3">
                  <c:v>Implementation</c:v>
                </c:pt>
              </c:strCache>
            </c:strRef>
          </c:cat>
          <c:val>
            <c:numRef>
              <c:f>Analysis!$E$4:$E$8</c:f>
              <c:numCache>
                <c:formatCode>General</c:formatCode>
                <c:ptCount val="4"/>
                <c:pt idx="0">
                  <c:v>22</c:v>
                </c:pt>
                <c:pt idx="1">
                  <c:v>4</c:v>
                </c:pt>
                <c:pt idx="2">
                  <c:v>155</c:v>
                </c:pt>
                <c:pt idx="3">
                  <c:v>81</c:v>
                </c:pt>
              </c:numCache>
            </c:numRef>
          </c:val>
          <c:extLst>
            <c:ext xmlns:c16="http://schemas.microsoft.com/office/drawing/2014/chart" uri="{C3380CC4-5D6E-409C-BE32-E72D297353CC}">
              <c16:uniqueId val="{00000021-A255-44D7-8FC6-4BD651D90C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[finance1.xlsx]Analysis!PivotTable41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Sovereign vs Non-Sovereign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Analysis!$O$3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Analysis!$N$4:$N$6</c:f>
              <c:strCache>
                <c:ptCount val="2"/>
                <c:pt idx="0">
                  <c:v>Non Sovereign</c:v>
                </c:pt>
                <c:pt idx="1">
                  <c:v>Sovereign</c:v>
                </c:pt>
              </c:strCache>
            </c:strRef>
          </c:cat>
          <c:val>
            <c:numRef>
              <c:f>Analysis!$O$4:$O$6</c:f>
              <c:numCache>
                <c:formatCode>General</c:formatCode>
                <c:ptCount val="2"/>
                <c:pt idx="0">
                  <c:v>130</c:v>
                </c:pt>
                <c:pt idx="1">
                  <c:v>132</c:v>
                </c:pt>
              </c:numCache>
            </c:numRef>
          </c:val>
          <c:extLst>
            <c:ext xmlns:c16="http://schemas.microsoft.com/office/drawing/2014/chart" uri="{C3380CC4-5D6E-409C-BE32-E72D297353CC}">
              <c16:uniqueId val="{00000004-3445-41C8-B2B3-07B7ACD9FAFB}"/>
            </c:ext>
          </c:extLst>
        </c:ser>
        <c:dLbls>
          <c:dLblPos val="inEnd"/>
          <c:showLegendKey val="0"/>
          <c:showVal val="1"/>
          <c:showCatName val="0"/>
          <c:showSerName val="0"/>
          <c:showPercent val="0"/>
          <c:showBubbleSize val="0"/>
        </c:dLbls>
        <c:gapWidth val="65"/>
        <c:axId val="1834789295"/>
        <c:axId val="1834790255"/>
      </c:barChart>
      <c:catAx>
        <c:axId val="18347892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4790255"/>
        <c:crosses val="autoZero"/>
        <c:auto val="1"/>
        <c:lblAlgn val="ctr"/>
        <c:lblOffset val="100"/>
        <c:noMultiLvlLbl val="0"/>
      </c:catAx>
      <c:valAx>
        <c:axId val="18347902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34789295"/>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205740</xdr:colOff>
      <xdr:row>1</xdr:row>
      <xdr:rowOff>114300</xdr:rowOff>
    </xdr:from>
    <xdr:to>
      <xdr:col>12</xdr:col>
      <xdr:colOff>205740</xdr:colOff>
      <xdr:row>15</xdr:row>
      <xdr:rowOff>20955</xdr:rowOff>
    </xdr:to>
    <mc:AlternateContent xmlns:mc="http://schemas.openxmlformats.org/markup-compatibility/2006" xmlns:a14="http://schemas.microsoft.com/office/drawing/2010/main">
      <mc:Choice Requires="a14">
        <xdr:graphicFrame macro="">
          <xdr:nvGraphicFramePr>
            <xdr:cNvPr id="3" name="Source of Financing">
              <a:extLst>
                <a:ext uri="{FF2B5EF4-FFF2-40B4-BE49-F238E27FC236}">
                  <a16:creationId xmlns:a16="http://schemas.microsoft.com/office/drawing/2014/main" id="{25B5FA33-AF22-E569-FD6A-C4489E012561}"/>
                </a:ext>
              </a:extLst>
            </xdr:cNvPr>
            <xdr:cNvGraphicFramePr/>
          </xdr:nvGraphicFramePr>
          <xdr:xfrm>
            <a:off x="0" y="0"/>
            <a:ext cx="0" cy="0"/>
          </xdr:xfrm>
          <a:graphic>
            <a:graphicData uri="http://schemas.microsoft.com/office/drawing/2010/slicer">
              <sle:slicer xmlns:sle="http://schemas.microsoft.com/office/drawing/2010/slicer" name="Source of Financing"/>
            </a:graphicData>
          </a:graphic>
        </xdr:graphicFrame>
      </mc:Choice>
      <mc:Fallback xmlns="">
        <xdr:sp macro="" textlink="">
          <xdr:nvSpPr>
            <xdr:cNvPr id="0" name=""/>
            <xdr:cNvSpPr>
              <a:spLocks noTextEdit="1"/>
            </xdr:cNvSpPr>
          </xdr:nvSpPr>
          <xdr:spPr>
            <a:xfrm>
              <a:off x="11574780" y="297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22</xdr:col>
      <xdr:colOff>459619</xdr:colOff>
      <xdr:row>49</xdr:row>
      <xdr:rowOff>57874</xdr:rowOff>
    </xdr:to>
    <xdr:sp macro="" textlink="">
      <xdr:nvSpPr>
        <xdr:cNvPr id="2" name="Rectangle 1">
          <a:extLst>
            <a:ext uri="{FF2B5EF4-FFF2-40B4-BE49-F238E27FC236}">
              <a16:creationId xmlns:a16="http://schemas.microsoft.com/office/drawing/2014/main" id="{C71B6B49-1696-447A-9EB2-B3EA8873F2DD}"/>
            </a:ext>
          </a:extLst>
        </xdr:cNvPr>
        <xdr:cNvSpPr/>
      </xdr:nvSpPr>
      <xdr:spPr>
        <a:xfrm>
          <a:off x="38100" y="0"/>
          <a:ext cx="13790278" cy="9037899"/>
        </a:xfrm>
        <a:prstGeom prst="rect">
          <a:avLst/>
        </a:prstGeom>
        <a:solidFill>
          <a:schemeClr val="accent5">
            <a:lumMod val="20000"/>
            <a:lumOff val="8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5</xdr:row>
      <xdr:rowOff>38100</xdr:rowOff>
    </xdr:from>
    <xdr:to>
      <xdr:col>4</xdr:col>
      <xdr:colOff>533400</xdr:colOff>
      <xdr:row>10</xdr:row>
      <xdr:rowOff>160020</xdr:rowOff>
    </xdr:to>
    <xdr:sp macro="" textlink="">
      <xdr:nvSpPr>
        <xdr:cNvPr id="3" name="Rectangle: Rounded Corners 2">
          <a:extLst>
            <a:ext uri="{FF2B5EF4-FFF2-40B4-BE49-F238E27FC236}">
              <a16:creationId xmlns:a16="http://schemas.microsoft.com/office/drawing/2014/main" id="{A303226C-7BAA-4872-BEB1-06A8F2A27305}"/>
            </a:ext>
          </a:extLst>
        </xdr:cNvPr>
        <xdr:cNvSpPr/>
      </xdr:nvSpPr>
      <xdr:spPr>
        <a:xfrm>
          <a:off x="457200" y="952500"/>
          <a:ext cx="2514600" cy="1036320"/>
        </a:xfrm>
        <a:prstGeom prst="roundRect">
          <a:avLst/>
        </a:prstGeom>
        <a:solidFill>
          <a:schemeClr val="accent1">
            <a:lumMod val="60000"/>
            <a:lumOff val="40000"/>
          </a:schemeClr>
        </a:solidFill>
        <a:ln>
          <a:solidFill>
            <a:schemeClr val="tx1"/>
          </a:solidFill>
        </a:ln>
        <a:effectLst>
          <a:glow rad="635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ysClr val="windowText" lastClr="000000"/>
              </a:solidFill>
              <a:effectLst/>
              <a:latin typeface="+mn-lt"/>
              <a:ea typeface="+mn-ea"/>
              <a:cs typeface="+mn-cs"/>
            </a:rPr>
            <a:t>Total Funding (U.A.)</a:t>
          </a:r>
          <a:br>
            <a:rPr lang="en-US" sz="1800" b="1" i="0" u="none" strike="noStrike">
              <a:solidFill>
                <a:schemeClr val="bg1"/>
              </a:solidFill>
              <a:effectLst/>
              <a:latin typeface="+mn-lt"/>
              <a:ea typeface="+mn-ea"/>
              <a:cs typeface="+mn-cs"/>
            </a:rPr>
          </a:br>
          <a:r>
            <a:rPr lang="en-US" sz="1800" b="1" i="0" u="none" strike="noStrike">
              <a:solidFill>
                <a:schemeClr val="dk1"/>
              </a:solidFill>
              <a:effectLst/>
              <a:latin typeface="+mn-lt"/>
              <a:ea typeface="+mn-ea"/>
              <a:cs typeface="+mn-cs"/>
            </a:rPr>
            <a:t>10,566,594,635.34</a:t>
          </a:r>
          <a:r>
            <a:rPr lang="en-US" sz="3600">
              <a:effectLst/>
            </a:rPr>
            <a:t> </a:t>
          </a:r>
          <a:r>
            <a:rPr lang="en-US" sz="3600" b="1">
              <a:solidFill>
                <a:schemeClr val="bg1"/>
              </a:solidFill>
              <a:effectLst/>
            </a:rPr>
            <a:t> </a:t>
          </a:r>
          <a:endParaRPr lang="en-US" sz="1800" b="1">
            <a:solidFill>
              <a:schemeClr val="bg1"/>
            </a:solidFill>
          </a:endParaRPr>
        </a:p>
      </xdr:txBody>
    </xdr:sp>
    <xdr:clientData/>
  </xdr:twoCellAnchor>
  <xdr:twoCellAnchor>
    <xdr:from>
      <xdr:col>4</xdr:col>
      <xdr:colOff>548640</xdr:colOff>
      <xdr:row>5</xdr:row>
      <xdr:rowOff>45721</xdr:rowOff>
    </xdr:from>
    <xdr:to>
      <xdr:col>8</xdr:col>
      <xdr:colOff>472440</xdr:colOff>
      <xdr:row>11</xdr:row>
      <xdr:rowOff>0</xdr:rowOff>
    </xdr:to>
    <xdr:sp macro="" textlink="">
      <xdr:nvSpPr>
        <xdr:cNvPr id="5" name="Rectangle: Rounded Corners 4">
          <a:extLst>
            <a:ext uri="{FF2B5EF4-FFF2-40B4-BE49-F238E27FC236}">
              <a16:creationId xmlns:a16="http://schemas.microsoft.com/office/drawing/2014/main" id="{B5D0D141-3278-4CB2-A60B-24A55286AD0C}"/>
            </a:ext>
          </a:extLst>
        </xdr:cNvPr>
        <xdr:cNvSpPr/>
      </xdr:nvSpPr>
      <xdr:spPr>
        <a:xfrm>
          <a:off x="2987040" y="960121"/>
          <a:ext cx="2362200" cy="1051559"/>
        </a:xfrm>
        <a:prstGeom prst="roundRect">
          <a:avLst/>
        </a:prstGeom>
        <a:solidFill>
          <a:schemeClr val="accent1">
            <a:lumMod val="60000"/>
            <a:lumOff val="40000"/>
          </a:schemeClr>
        </a:solidFill>
        <a:ln>
          <a:solidFill>
            <a:schemeClr val="tx1"/>
          </a:solidFill>
        </a:ln>
        <a:effectLst>
          <a:glow rad="635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600" b="1" i="0" u="none" strike="noStrike" baseline="0">
              <a:solidFill>
                <a:sysClr val="windowText" lastClr="000000"/>
              </a:solidFill>
              <a:effectLst/>
              <a:latin typeface="+mn-lt"/>
              <a:ea typeface="+mn-ea"/>
              <a:cs typeface="+mn-cs"/>
            </a:rPr>
            <a:t>Total Countries</a:t>
          </a:r>
        </a:p>
        <a:p>
          <a:pPr marL="0" indent="0" algn="ctr"/>
          <a:r>
            <a:rPr lang="en-US" sz="2000" b="1" i="0" u="none" strike="noStrike" baseline="0">
              <a:solidFill>
                <a:sysClr val="windowText" lastClr="000000"/>
              </a:solidFill>
              <a:effectLst/>
              <a:latin typeface="+mn-lt"/>
              <a:ea typeface="+mn-ea"/>
              <a:cs typeface="+mn-cs"/>
            </a:rPr>
            <a:t>47</a:t>
          </a:r>
        </a:p>
      </xdr:txBody>
    </xdr:sp>
    <xdr:clientData/>
  </xdr:twoCellAnchor>
  <xdr:twoCellAnchor>
    <xdr:from>
      <xdr:col>8</xdr:col>
      <xdr:colOff>502920</xdr:colOff>
      <xdr:row>5</xdr:row>
      <xdr:rowOff>7621</xdr:rowOff>
    </xdr:from>
    <xdr:to>
      <xdr:col>12</xdr:col>
      <xdr:colOff>489585</xdr:colOff>
      <xdr:row>11</xdr:row>
      <xdr:rowOff>19292</xdr:rowOff>
    </xdr:to>
    <xdr:sp macro="" textlink="">
      <xdr:nvSpPr>
        <xdr:cNvPr id="6" name="Rectangle: Rounded Corners 5">
          <a:extLst>
            <a:ext uri="{FF2B5EF4-FFF2-40B4-BE49-F238E27FC236}">
              <a16:creationId xmlns:a16="http://schemas.microsoft.com/office/drawing/2014/main" id="{ED38CA7F-78B3-4193-91F1-DC3D0C929622}"/>
            </a:ext>
          </a:extLst>
        </xdr:cNvPr>
        <xdr:cNvSpPr/>
      </xdr:nvSpPr>
      <xdr:spPr>
        <a:xfrm>
          <a:off x="5364287" y="923950"/>
          <a:ext cx="2417349" cy="1111266"/>
        </a:xfrm>
        <a:prstGeom prst="roundRect">
          <a:avLst/>
        </a:prstGeom>
        <a:solidFill>
          <a:schemeClr val="accent1">
            <a:lumMod val="60000"/>
            <a:lumOff val="40000"/>
          </a:schemeClr>
        </a:solidFill>
        <a:ln>
          <a:solidFill>
            <a:schemeClr val="tx1"/>
          </a:solidFill>
        </a:ln>
        <a:effectLst>
          <a:glow rad="635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600" b="1" i="0" u="none" strike="noStrike">
              <a:solidFill>
                <a:sysClr val="windowText" lastClr="000000"/>
              </a:solidFill>
              <a:effectLst/>
              <a:latin typeface="+mn-lt"/>
              <a:ea typeface="+mn-ea"/>
              <a:cs typeface="+mn-cs"/>
            </a:rPr>
            <a:t>Total Source of Financing </a:t>
          </a:r>
          <a:br>
            <a:rPr lang="en-US" sz="1800" b="1" i="0" u="none" strike="noStrike">
              <a:solidFill>
                <a:sysClr val="windowText" lastClr="000000"/>
              </a:solidFill>
              <a:effectLst/>
              <a:latin typeface="+mn-lt"/>
              <a:ea typeface="+mn-ea"/>
              <a:cs typeface="+mn-cs"/>
            </a:rPr>
          </a:br>
          <a:r>
            <a:rPr lang="en-US" sz="2400" b="1" i="0" u="none" strike="noStrike">
              <a:solidFill>
                <a:schemeClr val="dk1"/>
              </a:solidFill>
              <a:effectLst/>
              <a:latin typeface="+mn-lt"/>
              <a:ea typeface="+mn-ea"/>
              <a:cs typeface="+mn-cs"/>
            </a:rPr>
            <a:t>9</a:t>
          </a:r>
          <a:endParaRPr lang="en-US" sz="1800" b="1" i="0" u="none" strike="noStrike">
            <a:solidFill>
              <a:sysClr val="windowText" lastClr="000000"/>
            </a:solidFill>
            <a:effectLst/>
            <a:latin typeface="+mn-lt"/>
            <a:ea typeface="+mn-ea"/>
            <a:cs typeface="+mn-cs"/>
          </a:endParaRPr>
        </a:p>
      </xdr:txBody>
    </xdr:sp>
    <xdr:clientData/>
  </xdr:twoCellAnchor>
  <xdr:twoCellAnchor>
    <xdr:from>
      <xdr:col>12</xdr:col>
      <xdr:colOff>541020</xdr:colOff>
      <xdr:row>5</xdr:row>
      <xdr:rowOff>1</xdr:rowOff>
    </xdr:from>
    <xdr:to>
      <xdr:col>17</xdr:col>
      <xdr:colOff>182880</xdr:colOff>
      <xdr:row>11</xdr:row>
      <xdr:rowOff>19292</xdr:rowOff>
    </xdr:to>
    <xdr:sp macro="" textlink="">
      <xdr:nvSpPr>
        <xdr:cNvPr id="9" name="Rectangle: Rounded Corners 8">
          <a:extLst>
            <a:ext uri="{FF2B5EF4-FFF2-40B4-BE49-F238E27FC236}">
              <a16:creationId xmlns:a16="http://schemas.microsoft.com/office/drawing/2014/main" id="{76B4089B-43D6-477C-A89D-1E61479E56C4}"/>
            </a:ext>
          </a:extLst>
        </xdr:cNvPr>
        <xdr:cNvSpPr/>
      </xdr:nvSpPr>
      <xdr:spPr>
        <a:xfrm>
          <a:off x="7833071" y="916330"/>
          <a:ext cx="2680214" cy="1118886"/>
        </a:xfrm>
        <a:prstGeom prst="roundRect">
          <a:avLst/>
        </a:prstGeom>
        <a:solidFill>
          <a:schemeClr val="accent1">
            <a:lumMod val="60000"/>
            <a:lumOff val="40000"/>
          </a:schemeClr>
        </a:solidFill>
        <a:ln>
          <a:solidFill>
            <a:schemeClr val="tx1"/>
          </a:solidFill>
        </a:ln>
        <a:effectLst>
          <a:glow rad="635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600" b="1" i="0" u="none" strike="noStrike">
              <a:solidFill>
                <a:sysClr val="windowText" lastClr="000000"/>
              </a:solidFill>
              <a:effectLst/>
              <a:latin typeface="+mn-lt"/>
              <a:ea typeface="+mn-ea"/>
              <a:cs typeface="+mn-cs"/>
            </a:rPr>
            <a:t>Non-Sovereign Projects %</a:t>
          </a:r>
          <a:br>
            <a:rPr lang="en-US" sz="1600" b="1" i="0" u="none" strike="noStrike">
              <a:solidFill>
                <a:sysClr val="windowText" lastClr="000000"/>
              </a:solidFill>
              <a:effectLst/>
              <a:latin typeface="+mn-lt"/>
              <a:ea typeface="+mn-ea"/>
              <a:cs typeface="+mn-cs"/>
            </a:rPr>
          </a:br>
          <a:r>
            <a:rPr lang="en-US" sz="1800" b="1" i="0" u="none" strike="noStrike">
              <a:solidFill>
                <a:schemeClr val="dk1"/>
              </a:solidFill>
              <a:effectLst/>
              <a:latin typeface="+mn-lt"/>
              <a:ea typeface="+mn-ea"/>
              <a:cs typeface="+mn-cs"/>
            </a:rPr>
            <a:t>40.18%</a:t>
          </a:r>
          <a:r>
            <a:rPr lang="en-US" sz="3600" b="1">
              <a:effectLst/>
            </a:rPr>
            <a:t> </a:t>
          </a:r>
          <a:br>
            <a:rPr lang="en-US" sz="2000" b="1" i="0" u="none" strike="noStrike">
              <a:solidFill>
                <a:sysClr val="windowText" lastClr="000000"/>
              </a:solidFill>
              <a:effectLst/>
              <a:latin typeface="+mn-lt"/>
              <a:ea typeface="+mn-ea"/>
              <a:cs typeface="+mn-cs"/>
            </a:rPr>
          </a:br>
          <a:endParaRPr lang="en-US" sz="2000" b="1" i="0" u="none" strike="noStrike">
            <a:solidFill>
              <a:sysClr val="windowText" lastClr="000000"/>
            </a:solidFill>
            <a:effectLst/>
            <a:latin typeface="+mn-lt"/>
            <a:ea typeface="+mn-ea"/>
            <a:cs typeface="+mn-cs"/>
          </a:endParaRPr>
        </a:p>
      </xdr:txBody>
    </xdr:sp>
    <xdr:clientData/>
  </xdr:twoCellAnchor>
  <xdr:twoCellAnchor>
    <xdr:from>
      <xdr:col>17</xdr:col>
      <xdr:colOff>220980</xdr:colOff>
      <xdr:row>4</xdr:row>
      <xdr:rowOff>160020</xdr:rowOff>
    </xdr:from>
    <xdr:to>
      <xdr:col>21</xdr:col>
      <xdr:colOff>472440</xdr:colOff>
      <xdr:row>11</xdr:row>
      <xdr:rowOff>22860</xdr:rowOff>
    </xdr:to>
    <xdr:sp macro="" textlink="">
      <xdr:nvSpPr>
        <xdr:cNvPr id="10" name="Rectangle: Rounded Corners 9">
          <a:extLst>
            <a:ext uri="{FF2B5EF4-FFF2-40B4-BE49-F238E27FC236}">
              <a16:creationId xmlns:a16="http://schemas.microsoft.com/office/drawing/2014/main" id="{87106403-6BF2-4125-A87F-7FB9E9A8487E}"/>
            </a:ext>
          </a:extLst>
        </xdr:cNvPr>
        <xdr:cNvSpPr/>
      </xdr:nvSpPr>
      <xdr:spPr>
        <a:xfrm>
          <a:off x="10584180" y="891540"/>
          <a:ext cx="2689860" cy="1143000"/>
        </a:xfrm>
        <a:prstGeom prst="roundRect">
          <a:avLst/>
        </a:prstGeom>
        <a:solidFill>
          <a:schemeClr val="accent1">
            <a:lumMod val="60000"/>
            <a:lumOff val="40000"/>
          </a:schemeClr>
        </a:solidFill>
        <a:ln>
          <a:solidFill>
            <a:schemeClr val="tx1"/>
          </a:solidFill>
        </a:ln>
        <a:effectLst>
          <a:glow rad="635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600" b="1" i="0" u="none" strike="noStrike">
              <a:solidFill>
                <a:sysClr val="windowText" lastClr="000000"/>
              </a:solidFill>
              <a:effectLst/>
              <a:latin typeface="+mn-lt"/>
              <a:ea typeface="+mn-ea"/>
              <a:cs typeface="+mn-cs"/>
            </a:rPr>
            <a:t>Sovereign Projects %</a:t>
          </a:r>
          <a:br>
            <a:rPr lang="en-US" sz="1600" b="1" i="0" u="none" strike="noStrike">
              <a:solidFill>
                <a:sysClr val="windowText" lastClr="000000"/>
              </a:solidFill>
              <a:effectLst/>
              <a:latin typeface="+mn-lt"/>
              <a:ea typeface="+mn-ea"/>
              <a:cs typeface="+mn-cs"/>
            </a:rPr>
          </a:br>
          <a:r>
            <a:rPr lang="en-US" sz="1800" b="1" i="0" u="none" strike="noStrike">
              <a:solidFill>
                <a:schemeClr val="dk1"/>
              </a:solidFill>
              <a:effectLst/>
              <a:latin typeface="+mn-lt"/>
              <a:ea typeface="+mn-ea"/>
              <a:cs typeface="+mn-cs"/>
            </a:rPr>
            <a:t>59.82%</a:t>
          </a:r>
          <a:r>
            <a:rPr lang="en-US" sz="3600" b="1">
              <a:effectLst/>
            </a:rPr>
            <a:t> </a:t>
          </a:r>
          <a:br>
            <a:rPr lang="en-US" sz="2000" b="1" i="0" u="none" strike="noStrike">
              <a:solidFill>
                <a:sysClr val="windowText" lastClr="000000"/>
              </a:solidFill>
              <a:effectLst/>
              <a:latin typeface="+mn-lt"/>
              <a:ea typeface="+mn-ea"/>
              <a:cs typeface="+mn-cs"/>
            </a:rPr>
          </a:br>
          <a:endParaRPr lang="en-US" sz="2000" b="1" i="0" u="none" strike="noStrike">
            <a:solidFill>
              <a:sysClr val="windowText" lastClr="000000"/>
            </a:solidFill>
            <a:effectLst/>
            <a:latin typeface="+mn-lt"/>
            <a:ea typeface="+mn-ea"/>
            <a:cs typeface="+mn-cs"/>
          </a:endParaRPr>
        </a:p>
      </xdr:txBody>
    </xdr:sp>
    <xdr:clientData/>
  </xdr:twoCellAnchor>
  <xdr:twoCellAnchor>
    <xdr:from>
      <xdr:col>1</xdr:col>
      <xdr:colOff>7620</xdr:colOff>
      <xdr:row>0</xdr:row>
      <xdr:rowOff>167639</xdr:rowOff>
    </xdr:from>
    <xdr:to>
      <xdr:col>21</xdr:col>
      <xdr:colOff>436693</xdr:colOff>
      <xdr:row>4</xdr:row>
      <xdr:rowOff>99060</xdr:rowOff>
    </xdr:to>
    <xdr:sp macro="" textlink="">
      <xdr:nvSpPr>
        <xdr:cNvPr id="11" name="Rectangle 10">
          <a:extLst>
            <a:ext uri="{FF2B5EF4-FFF2-40B4-BE49-F238E27FC236}">
              <a16:creationId xmlns:a16="http://schemas.microsoft.com/office/drawing/2014/main" id="{8C590776-9DB6-440F-B294-87F8CCB81396}"/>
            </a:ext>
          </a:extLst>
        </xdr:cNvPr>
        <xdr:cNvSpPr/>
      </xdr:nvSpPr>
      <xdr:spPr>
        <a:xfrm>
          <a:off x="617220" y="167639"/>
          <a:ext cx="12621073" cy="6629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Enterprise Financial Analytics &amp; Business Intelligence Dashboard</a:t>
          </a:r>
        </a:p>
      </xdr:txBody>
    </xdr:sp>
    <xdr:clientData/>
  </xdr:twoCellAnchor>
  <xdr:twoCellAnchor>
    <xdr:from>
      <xdr:col>0</xdr:col>
      <xdr:colOff>522842</xdr:colOff>
      <xdr:row>12</xdr:row>
      <xdr:rowOff>7620</xdr:rowOff>
    </xdr:from>
    <xdr:to>
      <xdr:col>9</xdr:col>
      <xdr:colOff>339688</xdr:colOff>
      <xdr:row>27</xdr:row>
      <xdr:rowOff>7620</xdr:rowOff>
    </xdr:to>
    <xdr:graphicFrame macro="">
      <xdr:nvGraphicFramePr>
        <xdr:cNvPr id="12" name="Chart 11">
          <a:extLst>
            <a:ext uri="{FF2B5EF4-FFF2-40B4-BE49-F238E27FC236}">
              <a16:creationId xmlns:a16="http://schemas.microsoft.com/office/drawing/2014/main" id="{C37CA063-DE7C-46A0-96A9-E4740F255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469319</xdr:colOff>
      <xdr:row>28</xdr:row>
      <xdr:rowOff>10374</xdr:rowOff>
    </xdr:from>
    <xdr:to>
      <xdr:col>12</xdr:col>
      <xdr:colOff>330506</xdr:colOff>
      <xdr:row>46</xdr:row>
      <xdr:rowOff>27542</xdr:rowOff>
    </xdr:to>
    <xdr:graphicFrame macro="">
      <xdr:nvGraphicFramePr>
        <xdr:cNvPr id="16" name="Chart 15">
          <a:extLst>
            <a:ext uri="{FF2B5EF4-FFF2-40B4-BE49-F238E27FC236}">
              <a16:creationId xmlns:a16="http://schemas.microsoft.com/office/drawing/2014/main" id="{D41BE2CE-05EE-48D3-9DDB-ED8E6EB94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451231</xdr:colOff>
      <xdr:row>12</xdr:row>
      <xdr:rowOff>27541</xdr:rowOff>
    </xdr:from>
    <xdr:to>
      <xdr:col>18</xdr:col>
      <xdr:colOff>440674</xdr:colOff>
      <xdr:row>27</xdr:row>
      <xdr:rowOff>9181</xdr:rowOff>
    </xdr:to>
    <xdr:graphicFrame macro="">
      <xdr:nvGraphicFramePr>
        <xdr:cNvPr id="17" name="Chart 16">
          <a:extLst>
            <a:ext uri="{FF2B5EF4-FFF2-40B4-BE49-F238E27FC236}">
              <a16:creationId xmlns:a16="http://schemas.microsoft.com/office/drawing/2014/main" id="{51B59AF7-145E-4738-B634-2EA4FCEEB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540377</xdr:colOff>
      <xdr:row>12</xdr:row>
      <xdr:rowOff>31307</xdr:rowOff>
    </xdr:from>
    <xdr:to>
      <xdr:col>21</xdr:col>
      <xdr:colOff>551394</xdr:colOff>
      <xdr:row>26</xdr:row>
      <xdr:rowOff>174434</xdr:rowOff>
    </xdr:to>
    <mc:AlternateContent xmlns:mc="http://schemas.openxmlformats.org/markup-compatibility/2006" xmlns:a14="http://schemas.microsoft.com/office/drawing/2010/main">
      <mc:Choice Requires="a14">
        <xdr:graphicFrame macro="">
          <xdr:nvGraphicFramePr>
            <xdr:cNvPr id="22" name="Source of Financing 2">
              <a:extLst>
                <a:ext uri="{FF2B5EF4-FFF2-40B4-BE49-F238E27FC236}">
                  <a16:creationId xmlns:a16="http://schemas.microsoft.com/office/drawing/2014/main" id="{26956359-6780-00F5-17FE-1E5B6C1A4232}"/>
                </a:ext>
              </a:extLst>
            </xdr:cNvPr>
            <xdr:cNvGraphicFramePr/>
          </xdr:nvGraphicFramePr>
          <xdr:xfrm>
            <a:off x="0" y="0"/>
            <a:ext cx="0" cy="0"/>
          </xdr:xfrm>
          <a:graphic>
            <a:graphicData uri="http://schemas.microsoft.com/office/drawing/2010/slicer">
              <sle:slicer xmlns:sle="http://schemas.microsoft.com/office/drawing/2010/slicer" name="Source of Financing 2"/>
            </a:graphicData>
          </a:graphic>
        </xdr:graphicFrame>
      </mc:Choice>
      <mc:Fallback xmlns="">
        <xdr:sp macro="" textlink="">
          <xdr:nvSpPr>
            <xdr:cNvPr id="0" name=""/>
            <xdr:cNvSpPr>
              <a:spLocks noTextEdit="1"/>
            </xdr:cNvSpPr>
          </xdr:nvSpPr>
          <xdr:spPr>
            <a:xfrm>
              <a:off x="11478453" y="2230497"/>
              <a:ext cx="1834030" cy="2708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423689</xdr:colOff>
      <xdr:row>28</xdr:row>
      <xdr:rowOff>27542</xdr:rowOff>
    </xdr:from>
    <xdr:to>
      <xdr:col>22</xdr:col>
      <xdr:colOff>100987</xdr:colOff>
      <xdr:row>46</xdr:row>
      <xdr:rowOff>45904</xdr:rowOff>
    </xdr:to>
    <xdr:graphicFrame macro="">
      <xdr:nvGraphicFramePr>
        <xdr:cNvPr id="23" name="Chart 22">
          <a:extLst>
            <a:ext uri="{FF2B5EF4-FFF2-40B4-BE49-F238E27FC236}">
              <a16:creationId xmlns:a16="http://schemas.microsoft.com/office/drawing/2014/main" id="{4F010B54-6093-44C6-B74F-7D0D8566E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DHA GAIKWAD" refreshedDate="46200.599157175922" createdVersion="8" refreshedVersion="8" minRefreshableVersion="3" recordCount="336" xr:uid="{179C09A1-F805-4303-97CA-4D39DF6C1102}">
  <cacheSource type="worksheet">
    <worksheetSource name="Table1"/>
  </cacheSource>
  <cacheFields count="10">
    <cacheField name="Project Code" numFmtId="0">
      <sharedItems containsMixedTypes="1" containsNumber="1" containsInteger="1" minValue="404171" maxValue="405054" count="336">
        <s v="P-MG-H00-002"/>
        <s v="P-Z1-H00-063"/>
        <s v="P-MG-HAZ-001"/>
        <s v="P-MU-H00-004"/>
        <s v="P-AO-HAB-009"/>
        <s v="P-MR-HZ0-005"/>
        <s v="P-Z1-H00-057"/>
        <s v="P-Z1-HZ0-037"/>
        <s v="P-Z1-HZ0-045"/>
        <s v="P-EG-H00-005"/>
        <s v="P-ML-HZ0-001"/>
        <s v="P-KE-HAB-030"/>
        <s v="P-MA-HAA-012"/>
        <s v="P-Z1-HB0-064"/>
        <s v="P-Z1-HB0-071"/>
        <s v="P-Z1-HB0-072"/>
        <s v="P-Z1-H00-072"/>
        <s v="P-GN-HA0-001"/>
        <s v="P-SN-HA0-002"/>
        <s v="P-KE-HAB-026"/>
        <s v="P-RW-HAB-006"/>
        <s v="P-Z1-HAA-092"/>
        <s v="P-Z1-HAA-093"/>
        <s v="P-Z1-HAA-094"/>
        <s v="P-Z1-HAB-073"/>
        <s v="P-Z1-HZ0-038"/>
        <s v="P-MZ-HAB-004"/>
        <s v="P-TN-HAB-013"/>
        <s v="P-MG-HZ0-001"/>
        <s v="P-TN-HAB-009"/>
        <s v="P-TN-HAB-015"/>
        <s v="P-KE-HB0-009"/>
        <s v="P-TN-HZ0-005"/>
        <s v="P-BW-HAA-004"/>
        <s v="P-NG-H00-011"/>
        <s v="P-Z1-HZ0-034 "/>
        <s v="P-BF-HAA-001"/>
        <s v="P-Z1-HAA-091"/>
        <s v="P-NG-HAB-042"/>
        <s v="P-UG-HAA-006"/>
        <s v="P-UG-HAA-007"/>
        <s v="P-MA-HA0-005"/>
        <s v="P-CD-HAB-005"/>
        <s v="P-Z1-HB0-057"/>
        <s v="P-Z1-HB0-013"/>
        <s v="P-MR-HZ0-004"/>
        <s v="P-MU-HAB-001"/>
        <s v="G-TN-H00-ZZZ-001"/>
        <s v="P-Z1-H00-047"/>
        <s v="P-ZM-HB0-006"/>
        <s v="P-KE-HAB-013"/>
        <s v="P-ZA-HAA-014"/>
        <s v="P-SL-HAB-002"/>
        <s v="P-TN-HAB-005"/>
        <s v="P-RW-HAA-007"/>
        <s v="P-SZ-HAA-001"/>
        <s v="P-SS-HZ0-001"/>
        <s v="P-Z1-HAA-085"/>
        <s v="P-GN-HAA-001"/>
        <s v="P-ST-H00-002"/>
        <s v="P-KE-HAB-008"/>
        <s v="P-KE-HAB-025"/>
        <s v="P-Z1-HAA-084"/>
        <s v="P-BW-HB0-004"/>
        <s v="P-BF-HA0-001"/>
        <s v="P-KE-HAB-022"/>
        <s v="P-TN-HAB-003"/>
        <s v="P-EG-HA0-001"/>
        <s v="P-Z1-HA0-008"/>
        <s v="P-Z1-HAB-045"/>
        <s v="P-ZM-HAA-001"/>
        <s v="P-TG-H00-003"/>
        <s v="P-MA-HAZ-002"/>
        <s v="P-TN-HZ0-002"/>
        <s v="P-NG-HAB-037"/>
        <s v="P-NG-HAB-038"/>
        <s v="P-MR-HAB-007"/>
        <s v="P-NG-HA0-012"/>
        <s v="P-MR-HA0-001"/>
        <s v="P-TZ-HAB-009"/>
        <s v="P-ZW-HZ0-001"/>
        <s v="P-ZW-HA0-002"/>
        <s v="P-Z1-H00-026"/>
        <s v="P-Z1-H00-042"/>
        <s v="P-NG-HAB-035"/>
        <s v="P-Z1-HB0-056"/>
        <s v="P-AO-HAB-003"/>
        <s v="P-GH-HAB-004"/>
        <s v="P-Z1-HZ0-016"/>
        <s v="P-Z1-HZ0-022"/>
        <s v="P-Z1-HZ0-023"/>
        <s v="P-EG-H00-002"/>
        <s v="P-NA-HAA-004"/>
        <s v="P-MA-H00-004"/>
        <s v="P-SC-H00-002"/>
        <s v="P-RW-HAB-004"/>
        <s v="P-NG-H00-004"/>
        <s v="P-ET-HB0-002"/>
        <s v="P-LR-HB0-001"/>
        <s v="P-CI-H00-002"/>
        <s v="P-NG-HAA-004"/>
        <s v="P-NG-HB0-006"/>
        <s v="P-KE-HAB-003"/>
        <s v="P-Z1-HAA-059"/>
        <s v="P-Z1-HB0-038"/>
        <s v="P-MA-HZ0-011"/>
        <s v="P-NG-HB0-005"/>
        <s v="P-BF-HB0-001"/>
        <s v="P-Z1-HAA-055"/>
        <s v="P-NG-HAB-019"/>
        <s v="P-MZ-HAB-001"/>
        <s v="P-NG-HAB-016"/>
        <s v="P-NG-HAB-017"/>
        <s v="P-Z1-HAA-054"/>
        <s v="P-ZM-HB0-003"/>
        <s v="P-Z1-HAA-050"/>
        <s v="P-MU-HAB-002"/>
        <s v="P-TN-HAA-038"/>
        <s v="P-NG-HA0-005"/>
        <s v="P-GH-HAB-002"/>
        <s v="P-KE-HAB-021"/>
        <s v="P-Z1-HAA-051"/>
        <s v="P-MA-HZ0-009"/>
        <s v="P-Z1-HZ0-005"/>
        <s v="P-Z1-HAB-007"/>
        <s v="P-Z1-HAB-010"/>
        <s v="P-NE-HAB-001"/>
        <s v="P-SS-HA0-001"/>
        <s v="P-NG-HAB-022"/>
        <s v="P-TZ-HAB-004"/>
        <s v="P-ZM-HAB-022"/>
        <s v="P-Z1-HZ0-003"/>
        <s v="P-MA-HZ0-010"/>
        <s v="P-DZ-HA0-003"/>
        <s v="P-ZA-HAA-011"/>
        <s v="P-TZ-HB0-001"/>
        <s v="P-UG-HB0-001"/>
        <s v="P-Z1-HAA-041"/>
        <s v="G-Z1-HZ0-ZZZ-002"/>
        <s v="P-NA-HB0-001"/>
        <s v="P-SL-HA0-004"/>
        <s v="P-MA-HZ0-006"/>
        <s v="P-UG-HA0-002"/>
        <s v="P-UG-HA0-003"/>
        <s v="P-DZ-HB0-002"/>
        <s v="P-TN-HAA-037"/>
        <s v="P-ML-HA0-003"/>
        <s v="P-NG-HAA-002"/>
        <s v="P-NG-HAA-003"/>
        <s v="P-Z1-HAA-032"/>
        <s v="P-ZA-HAA-009"/>
        <s v="P-MA-H00-002"/>
        <s v="P-RW-HAA-006"/>
        <s v="P-RW-HAB-003"/>
        <s v="P-MA-HZ0-007"/>
        <s v="P-RW-HAA-004"/>
        <s v="P-RW-HAB-001"/>
        <s v="P-Z1-HZ0-002"/>
        <s v="G-Z1-H00-ZZZ-002"/>
        <s v="P-Z1-HZ0-004"/>
        <s v="P-Z1-HA0-004"/>
        <s v="P-NG-HAB-009"/>
        <s v="G-Z2-H00-ZZZ-003"/>
        <s v="P-ZA-HA0-003"/>
        <s v="P-CI-HA0-001"/>
        <s v="P-Z1-HAA-060"/>
        <s v="P-MA-HZ0-003"/>
        <s v="P-Z1-H00-002"/>
        <n v="405054"/>
        <s v="P-NG-HA0-003"/>
        <s v="P-TZ-HA0-005"/>
        <s v="P-NG-HAB-013"/>
        <s v="P-NG-HAB-014"/>
        <s v="P-NG-HAB-015"/>
        <s v="P-ZM-HB0-002"/>
        <s v="P-Z1-HAA-017"/>
        <n v="404791"/>
        <n v="404171"/>
        <s v="P-ZM-HAB-001"/>
        <s v="P-LR-H00-001"/>
        <s v="P-ZM-HAZ-001"/>
        <s v="P-ZM-HAZ-002"/>
        <s v="P-ZA-HA0-001"/>
        <s v="P-ZA-HA0-002"/>
        <s v="P-GH-HAB-001"/>
        <s v="P-MR-HAB-003"/>
        <s v="P-MR-HAB-004"/>
        <s v="P-Z1-HZ0-001"/>
        <s v="P-Z1-HAA-016"/>
        <s v="P-CD-HA0-001"/>
        <s v="P-Z1-HAA-013"/>
        <s v="P-Z1-HAA-012"/>
        <s v="P-CM-HAB-001"/>
        <s v="P-Z1-HAA-028"/>
        <s v="P-EG-HAB-005"/>
        <s v="P-NG-HAB-006"/>
        <s v="P-NG-HAB-007"/>
        <s v="P-EG-HZ0-001"/>
        <s v="P-ZA-HAA-008"/>
        <s v="P-NG-HAB-005"/>
        <s v="P-EG-HAB-010"/>
        <s v="P-MZ-HZ0-001"/>
        <s v="P-TN-HAA-030"/>
        <s v="P-NG-HAB-004"/>
        <s v="P-ZA-HAA-006"/>
        <s v="P-BW-HAA-001"/>
        <s v="P-NA-HAA-003"/>
        <s v="P-Z1-HAA-005"/>
        <s v="P-Z1-HAA-009"/>
        <s v="P-TN-HB0-001"/>
        <s v="P-TN-HAA-028"/>
        <s v="P-ZA-HAA-003"/>
        <s v="P-TG-HA0-003"/>
        <s v="P-TN-HAA-027"/>
        <s v="P-MA-HA0-001"/>
        <s v="P-MR-HAB-001"/>
        <s v="P-EG-HAA-009"/>
        <s v="P-EG-HAB-003"/>
        <s v="P-Z1-HAA-008"/>
        <s v="P-GH-HA0-006"/>
        <s v="P-TN-HAB-002"/>
        <s v="P-TN-HAA-025"/>
        <s v="P-MZ-HAA-001"/>
        <s v="P-TN-HA0-004"/>
        <s v="P-EG-HAB-002"/>
        <s v="P-NG-HAB-002"/>
        <s v="P-NA-HAA-002"/>
        <s v="P-NG-HA0-001"/>
        <s v="P-TN-HAA-024"/>
        <s v="P-RW-HAA-002"/>
        <s v="P-GH-H00-001"/>
        <s v="P-ZA-HAA-001"/>
        <s v="P-TN-HAA-023"/>
        <s v="P-NA-HAA-001"/>
        <s v="P-ZA-HAA-002"/>
        <s v="P-Z1-HAA-007"/>
        <s v="P-SC-HAA-003"/>
        <s v="P-TN-HA0-003"/>
        <s v="P-MA-H00-001"/>
        <s v="P-TN-HAA-022"/>
        <s v="P-MR-HZ0-002"/>
        <s v="P-MW-HA0-002"/>
        <s v="P-DZ-HAA-001"/>
        <s v="P-MA-HZ0-001"/>
        <s v="P-LS-HB0-001"/>
        <s v="P-Z1-HAA-002"/>
        <s v="P-TN-HAA-017"/>
        <s v="P-TN-HAA-018"/>
        <s v="P-TN-HAA-019"/>
        <s v="P-TN-HAA-021"/>
        <s v="P-Z1-HAA-001"/>
        <s v="P-MZ-HA0-002"/>
        <s v="P-TN-HAA-004"/>
        <s v="P-MA-HAA-008"/>
        <s v="P-TZ-HAZ-001"/>
        <s v="P-MA-HAZ-001"/>
        <s v="P-TN-HAA-010"/>
        <s v="P-MZ-HA0-001"/>
        <s v="P-MA-HA0-002"/>
        <s v="P-MA-HA0-003"/>
        <s v="P-MA-HAA-006"/>
        <s v="P-MA-HAA-009"/>
        <s v="P-SC-HAA-001"/>
        <s v="P-MR-HZ0-001"/>
        <s v="P-TN-HAA-007"/>
        <s v="P-TN-HAA-008"/>
        <s v="P-TN-HAA-009"/>
        <s v="P-TN-HAA-014"/>
        <s v="P-SD-HAA-002"/>
        <s v="P-UG-HAA-001"/>
        <s v="P-TN-HAA-005"/>
        <s v="P-TN-HAA-006"/>
        <s v="P-ZW-HA0-001"/>
        <s v="P-ML-HA0-002"/>
        <s v="P-AO-HA0-001"/>
        <s v="P-RW-HA0-002"/>
        <s v="P-NG-H00-001"/>
        <s v="P-TD-HA0-002"/>
        <s v="P-MZ-HA0-003"/>
        <s v="P-DZ-HAB-001"/>
        <s v="P-MR-HAZ-001"/>
        <s v="P-TN-HAA-011"/>
        <s v="P-TN-HAA-012"/>
        <s v="P-TN-HAA-013"/>
        <s v="P-TN-HAA-015"/>
        <s v="P-TN-HAA-016"/>
        <s v="P-Z1-HA0-001"/>
        <s v="P-MU-HA0-002"/>
        <s v="P-ZR-HA0-004"/>
        <s v="P-UG-HA0-001"/>
        <s v="P-CF-HA0-001"/>
        <s v="P-DJ-HAB-001"/>
        <s v="P-TN-HZ0-001"/>
        <s v="P-KE-HAA-002"/>
        <s v="P-SD-HAA-001"/>
        <s v="P-MA-HAA-005"/>
        <s v="P-LS-HA0-001"/>
        <s v="P-SC-HA0-001"/>
        <s v="P-MR-HAA-001"/>
        <s v="P-ML-HA0-001"/>
        <s v="P-SO-H00-001"/>
        <s v="P-Z1-HAA-004"/>
        <s v="P-RW-HA0-001"/>
        <s v="P-ZR-HA0-003"/>
        <s v="P-EG-HAA-005"/>
        <s v="P-TN-HAA-002"/>
        <s v="P-TN-HAA-003"/>
        <s v="P-KE-HAA-001"/>
        <s v="P-UG-H00-001"/>
        <s v="P-SO-HAA-001"/>
        <s v="P-BW-HA0-001"/>
        <s v="P-MU-HA0-001"/>
        <s v="P-TN-HA0-002"/>
        <s v="P-Z1-HAA-003"/>
        <s v="P-ZR-HA0-002"/>
        <s v="P-EG-HAA-004"/>
        <s v="P-MA-HAA-004"/>
        <s v="P-SD-HAZ-001"/>
        <s v="P-ZR-HA0-001"/>
        <s v="P-EG-HAA-001"/>
        <s v="P-TN-HAA-001"/>
        <s v="P-UG-HAA-002"/>
        <s v="P-LS-HA0-002"/>
        <s v="P-CG-HA0-001"/>
        <s v="P-KE-HA0-001"/>
        <s v="P-CM-HA0-001"/>
        <s v="P-MA-HAA-003"/>
        <s v="P-SL-HA0-002"/>
        <s v="P-NE-HA0-001"/>
        <s v="P-EG-HAA-002"/>
        <s v="P-MA-HAA-002"/>
        <s v="P-TN-HA0-001"/>
        <s v="P-SL-HA0-001"/>
        <s v="P-BI-H00-001"/>
        <s v="P-MA-HAA-001"/>
        <s v="P-MW-HA0-001"/>
      </sharedItems>
    </cacheField>
    <cacheField name="Title" numFmtId="0">
      <sharedItems/>
    </cacheField>
    <cacheField name="Commitment in U.A" numFmtId="4">
      <sharedItems containsSemiMixedTypes="0" containsString="0" containsNumber="1" minValue="49735.11" maxValue="354160321.29000002"/>
    </cacheField>
    <cacheField name="Country" numFmtId="0">
      <sharedItems count="47">
        <s v="Madagascar"/>
        <s v="Multinational"/>
        <s v="Mauritius"/>
        <s v="Angola"/>
        <s v="Mauritania"/>
        <s v="Egypt"/>
        <s v="Mali"/>
        <s v="Kenya"/>
        <s v="Morocco"/>
        <s v="Guinea"/>
        <s v="Senegal"/>
        <s v="Rwanda"/>
        <s v="Mozambique"/>
        <s v="Tunisia"/>
        <s v="Botswana"/>
        <s v="Nigeria"/>
        <s v="Burkina Faso"/>
        <s v="Uganda"/>
        <s v="Congo, the Democratic Republic of the"/>
        <s v="Zambia"/>
        <s v="South Africa"/>
        <s v="Sierra Leone"/>
        <s v="Eswatini"/>
        <s v="South Sudan"/>
        <s v="Sao Tome and Principe"/>
        <s v="Togo"/>
        <s v="Tanzania, United Republic of"/>
        <s v="Zimbabwe"/>
        <s v="Ghana"/>
        <s v="Namibia"/>
        <s v="Seychelles"/>
        <s v="Ethiopia"/>
        <s v="Liberia"/>
        <s v="Cote d'Ivoire"/>
        <s v="Niger"/>
        <s v="Algeria"/>
        <s v="Cameroon"/>
        <s v="Malawi"/>
        <s v="Lesotho"/>
        <s v="Sudan"/>
        <s v="Chad"/>
        <s v="Ex Zaire"/>
        <s v="Central African Republic"/>
        <s v="Djibouti"/>
        <s v="Somalia"/>
        <s v="Congo"/>
        <s v="Burundi"/>
      </sharedItems>
    </cacheField>
    <cacheField name="Starting Date" numFmtId="15">
      <sharedItems containsSemiMixedTypes="0" containsNonDate="0" containsDate="1" containsString="0" minDate="1972-11-22T00:00:00" maxDate="2020-10-29T00:00:00"/>
    </cacheField>
    <cacheField name="Status" numFmtId="0">
      <sharedItems count="4">
        <s v="Approved"/>
        <s v="Implementation"/>
        <s v="Completion"/>
        <s v="Cancelled"/>
      </sharedItems>
    </cacheField>
    <cacheField name="Source of Financing" numFmtId="0">
      <sharedItems count="9">
        <s v="African Development Fund"/>
        <s v="Fragile States Facility"/>
        <s v="Middle Income Countries Fund"/>
        <s v="African Development Bank"/>
        <s v="Fund for African Private Sector Assistance"/>
        <s v="Multi donor Trust Fund for Countries in Transition"/>
        <s v="Global Affairs Canada "/>
        <s v="NEPAD Infrastructure Project Preparation Facility"/>
        <s v="Nigerian Trust Fund"/>
      </sharedItems>
    </cacheField>
    <cacheField name="Sector" numFmtId="0">
      <sharedItems/>
    </cacheField>
    <cacheField name="Sovereign" numFmtId="0">
      <sharedItems count="2">
        <s v="Sovereign"/>
        <s v="Non Sovereign"/>
      </sharedItems>
    </cacheField>
    <cacheField name="Year" numFmtId="0">
      <sharedItems containsSemiMixedTypes="0" containsString="0" containsNumber="1" containsInteger="1" minValue="1972" maxValue="2020" count="46">
        <n v="2020"/>
        <n v="2019"/>
        <n v="2018"/>
        <n v="2017"/>
        <n v="2016"/>
        <n v="2015"/>
        <n v="2014"/>
        <n v="2013"/>
        <n v="2012"/>
        <n v="2011"/>
        <n v="2010"/>
        <n v="2009"/>
        <n v="2008"/>
        <n v="2007"/>
        <n v="2006"/>
        <n v="2005"/>
        <n v="2004"/>
        <n v="2003"/>
        <n v="2002"/>
        <n v="2001"/>
        <n v="2000"/>
        <n v="1999"/>
        <n v="1997"/>
        <n v="1996"/>
        <n v="1995"/>
        <n v="1994"/>
        <n v="1993"/>
        <n v="1992"/>
        <n v="1991"/>
        <n v="1990"/>
        <n v="1989"/>
        <n v="1988"/>
        <n v="1987"/>
        <n v="1986"/>
        <n v="1985"/>
        <n v="1984"/>
        <n v="1983"/>
        <n v="1982"/>
        <n v="1981"/>
        <n v="1980"/>
        <n v="1979"/>
        <n v="1978"/>
        <n v="1977"/>
        <n v="1976"/>
        <n v="1974"/>
        <n v="1972"/>
      </sharedItems>
    </cacheField>
  </cacheFields>
  <extLst>
    <ext xmlns:x14="http://schemas.microsoft.com/office/spreadsheetml/2009/9/main" uri="{725AE2AE-9491-48be-B2B4-4EB974FC3084}">
      <x14:pivotCacheDefinition pivotCacheId="1143135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
  <r>
    <x v="0"/>
    <s v="Madagascar - Industrialisation and Financial Sector Support Project (PAISF)"/>
    <n v="12080000"/>
    <x v="0"/>
    <d v="2020-10-28T00:00:00"/>
    <x v="0"/>
    <x v="0"/>
    <s v="Finance"/>
    <x v="0"/>
    <x v="0"/>
  </r>
  <r>
    <x v="1"/>
    <s v="Multinational - Domestic debt markets development in the West African Monetary Zone"/>
    <n v="1500000"/>
    <x v="1"/>
    <d v="2020-10-13T00:00:00"/>
    <x v="1"/>
    <x v="1"/>
    <s v="Finance"/>
    <x v="0"/>
    <x v="0"/>
  </r>
  <r>
    <x v="2"/>
    <s v="Madagascar - SME Business Linkages Program"/>
    <n v="1000000"/>
    <x v="0"/>
    <d v="2020-05-15T00:00:00"/>
    <x v="1"/>
    <x v="1"/>
    <s v="Finance"/>
    <x v="0"/>
    <x v="0"/>
  </r>
  <r>
    <x v="3"/>
    <s v="Mauritius - Stock Exchange Mauritius (SEM) Project"/>
    <n v="430000"/>
    <x v="2"/>
    <d v="2020-04-27T00:00:00"/>
    <x v="1"/>
    <x v="2"/>
    <s v="Finance"/>
    <x v="0"/>
    <x v="0"/>
  </r>
  <r>
    <x v="4"/>
    <s v="Angola - Line of Credit to « Banco Millennium Atlantico SA »"/>
    <n v="23415605.039999999"/>
    <x v="3"/>
    <d v="2020-04-15T00:00:00"/>
    <x v="0"/>
    <x v="3"/>
    <s v="Finance"/>
    <x v="1"/>
    <x v="0"/>
  </r>
  <r>
    <x v="5"/>
    <s v="Mauritania - Financial Infrastructure Modernisation Support Project (PAMIF) - Additionnal Loan"/>
    <n v="400000"/>
    <x v="4"/>
    <d v="2020-04-01T00:00:00"/>
    <x v="0"/>
    <x v="0"/>
    <s v="Finance"/>
    <x v="0"/>
    <x v="0"/>
  </r>
  <r>
    <x v="6"/>
    <s v="Multinational - WAEMU Regional Mortgage Refinancing Company (CRRH)"/>
    <n v="7978171.7199999997"/>
    <x v="1"/>
    <d v="2020-03-18T00:00:00"/>
    <x v="0"/>
    <x v="3"/>
    <s v="Finance"/>
    <x v="1"/>
    <x v="0"/>
  </r>
  <r>
    <x v="7"/>
    <s v="Multinational - Small- and Medium-sized Enterprise (SME) Business Linkages on East Africa Crude Oil Pipeline Project"/>
    <n v="1086959.78"/>
    <x v="1"/>
    <d v="2020-02-11T00:00:00"/>
    <x v="1"/>
    <x v="4"/>
    <s v="Finance"/>
    <x v="0"/>
    <x v="0"/>
  </r>
  <r>
    <x v="8"/>
    <s v="Uganda and Tanzania : MSMEs Business Linkage on East African Crude Oil Pipeline"/>
    <n v="363451.33"/>
    <x v="1"/>
    <d v="2020-02-11T00:00:00"/>
    <x v="0"/>
    <x v="4"/>
    <s v="Finance"/>
    <x v="0"/>
    <x v="0"/>
  </r>
  <r>
    <x v="9"/>
    <s v="Egypt - Line of Credit to «Corporate Leasing Company (Corplease) »"/>
    <n v="10976064.859999999"/>
    <x v="5"/>
    <d v="2020-01-29T00:00:00"/>
    <x v="0"/>
    <x v="3"/>
    <s v="Finance"/>
    <x v="1"/>
    <x v="0"/>
  </r>
  <r>
    <x v="10"/>
    <s v="Mali - African Trade Insurance Agency (ATI): Country Membership Programme"/>
    <n v="7290000"/>
    <x v="6"/>
    <d v="2019-12-05T00:00:00"/>
    <x v="0"/>
    <x v="0"/>
    <s v="Finance"/>
    <x v="0"/>
    <x v="1"/>
  </r>
  <r>
    <x v="11"/>
    <s v="Kenya - Equity Group Holdings Plc"/>
    <n v="73173765.739999995"/>
    <x v="7"/>
    <d v="2019-11-28T00:00:00"/>
    <x v="0"/>
    <x v="3"/>
    <s v="Finance"/>
    <x v="1"/>
    <x v="1"/>
  </r>
  <r>
    <x v="12"/>
    <s v="Morocco - &quot;Fonds d’Equipement Communal (FEC)&quot;"/>
    <n v="79781717.219999999"/>
    <x v="8"/>
    <d v="2019-11-28T00:00:00"/>
    <x v="0"/>
    <x v="3"/>
    <s v="Finance"/>
    <x v="1"/>
    <x v="1"/>
  </r>
  <r>
    <x v="13"/>
    <s v="Multinational – Project for Digitisation of Government Payments in the Mano River Union (DIGIGOV_MRU) countries – Guinea"/>
    <n v="1258000"/>
    <x v="1"/>
    <d v="2019-11-25T00:00:00"/>
    <x v="1"/>
    <x v="1"/>
    <s v="Finance"/>
    <x v="0"/>
    <x v="1"/>
  </r>
  <r>
    <x v="14"/>
    <s v="SIERRA LEONE - Government Payments Digitization in Mano River Union"/>
    <n v="279000"/>
    <x v="1"/>
    <d v="2019-11-25T00:00:00"/>
    <x v="0"/>
    <x v="1"/>
    <s v="Finance"/>
    <x v="0"/>
    <x v="1"/>
  </r>
  <r>
    <x v="15"/>
    <s v="GOVERNMENT PAYMENTS (P2G &amp; G2P) DIGITIZATION IN MANO RIVER UNION - LIBERIA"/>
    <n v="463000"/>
    <x v="1"/>
    <d v="2019-11-25T00:00:00"/>
    <x v="0"/>
    <x v="1"/>
    <s v="Finance"/>
    <x v="0"/>
    <x v="1"/>
  </r>
  <r>
    <x v="16"/>
    <s v="Multinational - Projet d’Appui au Démarrage du Marché Financier Unifié d’Afrique Centrale (Projet AMFUAC)"/>
    <n v="783328"/>
    <x v="1"/>
    <d v="2019-11-21T00:00:00"/>
    <x v="0"/>
    <x v="2"/>
    <s v="Finance"/>
    <x v="0"/>
    <x v="1"/>
  </r>
  <r>
    <x v="17"/>
    <s v="Guinea - Vista Bank - Africa SME Programme"/>
    <n v="5853901.2599999998"/>
    <x v="9"/>
    <d v="2019-09-24T00:00:00"/>
    <x v="0"/>
    <x v="3"/>
    <s v="Finance"/>
    <x v="1"/>
    <x v="1"/>
  </r>
  <r>
    <x v="18"/>
    <s v="Sénégal - Banque Nationale pour le Développement Economique (BNDE)"/>
    <n v="11967257.58"/>
    <x v="10"/>
    <d v="2019-09-24T00:00:00"/>
    <x v="0"/>
    <x v="3"/>
    <s v="Finance"/>
    <x v="1"/>
    <x v="1"/>
  </r>
  <r>
    <x v="19"/>
    <s v="Kenya - Credit Bank PLC (CBP)"/>
    <n v="5666565.1399999997"/>
    <x v="7"/>
    <d v="2019-07-17T00:00:00"/>
    <x v="0"/>
    <x v="3"/>
    <s v="Finance"/>
    <x v="1"/>
    <x v="1"/>
  </r>
  <r>
    <x v="20"/>
    <s v="Rwanda - &quot;Compagnie Générale de Banque PLC&quot; (COGEBANQUE)"/>
    <n v="10244327.199999999"/>
    <x v="11"/>
    <d v="2019-07-17T00:00:00"/>
    <x v="0"/>
    <x v="3"/>
    <s v="Finance"/>
    <x v="1"/>
    <x v="1"/>
  </r>
  <r>
    <x v="21"/>
    <s v="Multinational - COMESA Regional Trade and Project Finance Support Facility - Eastern and Southern African Trade and Development Bank (TDB)"/>
    <n v="36586882.869999997"/>
    <x v="1"/>
    <d v="2019-07-17T00:00:00"/>
    <x v="0"/>
    <x v="3"/>
    <s v="Finance"/>
    <x v="1"/>
    <x v="1"/>
  </r>
  <r>
    <x v="22"/>
    <s v="Multinational - COMESA Regional Trade and Project Finance Support Facility - Eastern and Southern African Trade and Development Bank (TDB)"/>
    <n v="146347531.47999999"/>
    <x v="1"/>
    <d v="2019-07-17T00:00:00"/>
    <x v="1"/>
    <x v="3"/>
    <s v="Finance"/>
    <x v="1"/>
    <x v="1"/>
  </r>
  <r>
    <x v="23"/>
    <s v="Multinational - COMESA Regional Trade and Project Finance Support Facility - Eastern and Southern African Trade and Development Bank (TDB)"/>
    <n v="36586882.869999997"/>
    <x v="1"/>
    <d v="2019-07-17T00:00:00"/>
    <x v="0"/>
    <x v="3"/>
    <s v="Finance"/>
    <x v="1"/>
    <x v="1"/>
  </r>
  <r>
    <x v="24"/>
    <s v="Regional - Attijariwafa Bank - Partnership for Trade Development in Africa"/>
    <n v="79781717.219999999"/>
    <x v="1"/>
    <d v="2019-07-17T00:00:00"/>
    <x v="0"/>
    <x v="3"/>
    <s v="Finance"/>
    <x v="1"/>
    <x v="1"/>
  </r>
  <r>
    <x v="25"/>
    <s v="Multinational - East African Community Payment and Settlement Systems Integration Project (EAC-PSSIP) - South Sudan"/>
    <n v="4800000"/>
    <x v="1"/>
    <d v="2019-07-17T00:00:00"/>
    <x v="1"/>
    <x v="0"/>
    <s v="Finance"/>
    <x v="0"/>
    <x v="1"/>
  </r>
  <r>
    <x v="26"/>
    <s v="Mozambique - Line of Credit to &quot;Banco Comercial E De Investimentos S.A. (BCI)&quot;"/>
    <n v="21952129.719999999"/>
    <x v="12"/>
    <d v="2019-07-15T00:00:00"/>
    <x v="0"/>
    <x v="3"/>
    <s v="Finance"/>
    <x v="1"/>
    <x v="1"/>
  </r>
  <r>
    <x v="27"/>
    <s v="Tunisia - BH Bank (formerly known as Banque de l’Habitat)"/>
    <n v="84148876.189999998"/>
    <x v="13"/>
    <d v="2019-06-26T00:00:00"/>
    <x v="0"/>
    <x v="3"/>
    <s v="Finance"/>
    <x v="0"/>
    <x v="1"/>
  </r>
  <r>
    <x v="28"/>
    <s v="Madagascar - Africa Disaster Risks Financing Progamme (ADRIFI)"/>
    <n v="1500000"/>
    <x v="0"/>
    <d v="2019-05-30T00:00:00"/>
    <x v="1"/>
    <x v="1"/>
    <s v="Finance"/>
    <x v="0"/>
    <x v="1"/>
  </r>
  <r>
    <x v="29"/>
    <s v="Tunisia - Amen Bank"/>
    <n v="12593612.52"/>
    <x v="13"/>
    <d v="2019-05-29T00:00:00"/>
    <x v="0"/>
    <x v="3"/>
    <s v="Finance"/>
    <x v="1"/>
    <x v="1"/>
  </r>
  <r>
    <x v="30"/>
    <s v="Tunisia - Amen Bank"/>
    <n v="29385095.879999999"/>
    <x v="13"/>
    <d v="2019-05-29T00:00:00"/>
    <x v="0"/>
    <x v="3"/>
    <s v="Finance"/>
    <x v="1"/>
    <x v="1"/>
  </r>
  <r>
    <x v="31"/>
    <s v="Kenya - Kenya Mortgage Refinance Company (KMRC)"/>
    <n v="75461573.290000007"/>
    <x v="7"/>
    <d v="2019-05-15T00:00:00"/>
    <x v="1"/>
    <x v="3"/>
    <s v="Finance"/>
    <x v="0"/>
    <x v="1"/>
  </r>
  <r>
    <x v="32"/>
    <s v="Tunisia - Financial Sector Modernisation Support Programme II - (PAMSFI II)"/>
    <n v="95319040.769999996"/>
    <x v="13"/>
    <d v="2019-05-15T00:00:00"/>
    <x v="0"/>
    <x v="3"/>
    <s v="Finance"/>
    <x v="0"/>
    <x v="1"/>
  </r>
  <r>
    <x v="33"/>
    <s v="Botswana - Botswana Development Corporation Limited (BDC)"/>
    <n v="57998332.549999997"/>
    <x v="14"/>
    <d v="2019-04-24T00:00:00"/>
    <x v="1"/>
    <x v="3"/>
    <s v="Finance"/>
    <x v="1"/>
    <x v="1"/>
  </r>
  <r>
    <x v="34"/>
    <s v="Nigeria - Infrastructure Credit Guarantee Company Limited (INFRACREDIT)"/>
    <n v="10717644.689999999"/>
    <x v="15"/>
    <d v="2019-04-05T00:00:00"/>
    <x v="0"/>
    <x v="3"/>
    <s v="Finance"/>
    <x v="1"/>
    <x v="1"/>
  </r>
  <r>
    <x v="35"/>
    <s v="Multinational - Africa Disaster Risk Financing (ADRiFi) Programme in The Gambia"/>
    <n v="900000"/>
    <x v="1"/>
    <d v="2019-02-27T00:00:00"/>
    <x v="1"/>
    <x v="1"/>
    <s v="Finance"/>
    <x v="0"/>
    <x v="1"/>
  </r>
  <r>
    <x v="36"/>
    <s v="Burkina Faso - Support Project for Establishing an Agribusiness Bank (PACBA)"/>
    <n v="15000000"/>
    <x v="16"/>
    <d v="2018-12-14T00:00:00"/>
    <x v="1"/>
    <x v="0"/>
    <s v="Finance"/>
    <x v="0"/>
    <x v="2"/>
  </r>
  <r>
    <x v="37"/>
    <s v="Multinational - Capacity Building Support Project of the Maghreb Bank for Investment and Foreign Trade (BMICE)"/>
    <n v="356000"/>
    <x v="1"/>
    <d v="2018-12-12T00:00:00"/>
    <x v="1"/>
    <x v="2"/>
    <s v="Finance"/>
    <x v="0"/>
    <x v="2"/>
  </r>
  <r>
    <x v="38"/>
    <s v="Nigeria - Fidelity Bank PLC"/>
    <n v="36248957.840000004"/>
    <x v="15"/>
    <d v="2018-10-10T00:00:00"/>
    <x v="1"/>
    <x v="3"/>
    <s v="Finance"/>
    <x v="1"/>
    <x v="2"/>
  </r>
  <r>
    <x v="39"/>
    <s v="Uganda - Uganda Development Bank Limited"/>
    <n v="3541603.21"/>
    <x v="17"/>
    <d v="2018-07-20T00:00:00"/>
    <x v="1"/>
    <x v="3"/>
    <s v="Finance"/>
    <x v="1"/>
    <x v="2"/>
  </r>
  <r>
    <x v="40"/>
    <s v="Uganda - Uganda Development Bank Limited"/>
    <n v="10874687.35"/>
    <x v="17"/>
    <d v="2018-07-20T00:00:00"/>
    <x v="1"/>
    <x v="3"/>
    <s v="Finance"/>
    <x v="0"/>
    <x v="2"/>
  </r>
  <r>
    <x v="41"/>
    <s v="Morocco - &quot;Groupe Banque Centrale Populaire&quot;"/>
    <n v="83957416.799999997"/>
    <x v="8"/>
    <d v="2018-06-27T00:00:00"/>
    <x v="1"/>
    <x v="3"/>
    <s v="Finance"/>
    <x v="1"/>
    <x v="2"/>
  </r>
  <r>
    <x v="42"/>
    <s v="Democratic Republic of the Congo - Rawbank"/>
    <n v="21632728.469999999"/>
    <x v="18"/>
    <d v="2018-03-07T00:00:00"/>
    <x v="2"/>
    <x v="3"/>
    <s v="Finance"/>
    <x v="1"/>
    <x v="2"/>
  </r>
  <r>
    <x v="43"/>
    <s v="Multinational - African Local Currency Bond Fund (ALCB FUND)"/>
    <n v="5682902.1799999997"/>
    <x v="1"/>
    <d v="2018-01-31T00:00:00"/>
    <x v="1"/>
    <x v="3"/>
    <s v="Finance"/>
    <x v="1"/>
    <x v="2"/>
  </r>
  <r>
    <x v="44"/>
    <s v="Multinational - West African Economic and Monetary Union (WAEMU) Regional Financial Market Support Project (PADMAFIR)"/>
    <n v="696235.36"/>
    <x v="1"/>
    <d v="2018-01-16T00:00:00"/>
    <x v="1"/>
    <x v="4"/>
    <s v="Finance"/>
    <x v="0"/>
    <x v="2"/>
  </r>
  <r>
    <x v="45"/>
    <s v="Mauritania - Financial Infrastructure Modernization Support Project (PAMIF)"/>
    <n v="3600000"/>
    <x v="4"/>
    <d v="2017-12-15T00:00:00"/>
    <x v="1"/>
    <x v="0"/>
    <s v="Finance"/>
    <x v="0"/>
    <x v="3"/>
  </r>
  <r>
    <x v="46"/>
    <s v="Mauritius - Maubank Holdings Limited"/>
    <n v="70832064.260000005"/>
    <x v="2"/>
    <d v="2017-12-11T00:00:00"/>
    <x v="1"/>
    <x v="3"/>
    <s v="Finance"/>
    <x v="0"/>
    <x v="3"/>
  </r>
  <r>
    <x v="47"/>
    <s v="Appui aux PME pour l'accès au financement non bancaire"/>
    <n v="370954.4"/>
    <x v="13"/>
    <d v="2017-12-08T00:00:00"/>
    <x v="1"/>
    <x v="5"/>
    <s v="Finance"/>
    <x v="0"/>
    <x v="3"/>
  </r>
  <r>
    <x v="48"/>
    <s v="Multinational - Line of Credit to Oragroup"/>
    <n v="39890858.609999999"/>
    <x v="1"/>
    <d v="2017-11-24T00:00:00"/>
    <x v="1"/>
    <x v="3"/>
    <s v="Finance"/>
    <x v="1"/>
    <x v="3"/>
  </r>
  <r>
    <x v="49"/>
    <s v="Zambia - Zambia National Building Society"/>
    <n v="10115899.300000001"/>
    <x v="19"/>
    <d v="2017-11-08T00:00:00"/>
    <x v="1"/>
    <x v="3"/>
    <s v="Finance"/>
    <x v="0"/>
    <x v="3"/>
  </r>
  <r>
    <x v="50"/>
    <s v="Kenya - Kenya Commercial Bank Limited"/>
    <n v="70832064.260000005"/>
    <x v="7"/>
    <d v="2017-10-25T00:00:00"/>
    <x v="1"/>
    <x v="3"/>
    <s v="Finance"/>
    <x v="1"/>
    <x v="3"/>
  </r>
  <r>
    <x v="51"/>
    <s v="South Africa - Industrial Development Corporation (IDC)"/>
    <n v="127376170.38"/>
    <x v="20"/>
    <d v="2017-09-27T00:00:00"/>
    <x v="1"/>
    <x v="3"/>
    <s v="Finance"/>
    <x v="1"/>
    <x v="3"/>
  </r>
  <r>
    <x v="52"/>
    <s v="Sierra Leone - Union Trust Bank Limited_x000a_(Africa SME Program)"/>
    <n v="2124961.9300000002"/>
    <x v="21"/>
    <d v="2017-09-26T00:00:00"/>
    <x v="1"/>
    <x v="3"/>
    <s v="Finance"/>
    <x v="1"/>
    <x v="3"/>
  </r>
  <r>
    <x v="53"/>
    <s v="Tunisia - Hannibal Lease_x000a_(Africa SME Program)"/>
    <n v="6716593.3399999999"/>
    <x v="13"/>
    <d v="2017-07-14T00:00:00"/>
    <x v="1"/>
    <x v="3"/>
    <s v="Finance"/>
    <x v="1"/>
    <x v="3"/>
  </r>
  <r>
    <x v="54"/>
    <s v="Rwanda - Development Bank of Rwanda"/>
    <n v="14166412.85"/>
    <x v="11"/>
    <d v="2017-05-16T00:00:00"/>
    <x v="1"/>
    <x v="3"/>
    <s v="Finance"/>
    <x v="1"/>
    <x v="3"/>
  </r>
  <r>
    <x v="55"/>
    <s v="Swaziland - Swaziland Development Finance Corporation (FINCORP) -Second LoC is under the Africa SME Program"/>
    <n v="9701939.5399999991"/>
    <x v="22"/>
    <d v="2017-05-12T00:00:00"/>
    <x v="1"/>
    <x v="3"/>
    <s v="Finance"/>
    <x v="0"/>
    <x v="3"/>
  </r>
  <r>
    <x v="56"/>
    <s v="South Sudan  - Regional Development Finance Institutions (African Trade Insurance Agency (ATI) and Eastern and Southern African Trade and Development Bank (TDB)) – Country Membership Programme "/>
    <n v="13379999.720000001"/>
    <x v="23"/>
    <d v="2017-04-12T00:00:00"/>
    <x v="2"/>
    <x v="0"/>
    <s v="Finance"/>
    <x v="0"/>
    <x v="3"/>
  </r>
  <r>
    <x v="57"/>
    <s v="Multinational - African Export-Import Bank (Afreximbank) Trade Finance Package - Line of Credit"/>
    <n v="212496192.78"/>
    <x v="1"/>
    <d v="2017-03-29T00:00:00"/>
    <x v="1"/>
    <x v="3"/>
    <s v="Finance"/>
    <x v="1"/>
    <x v="3"/>
  </r>
  <r>
    <x v="58"/>
    <s v="Guinea - Financial Sector Modernization Support Project (PAMSFI)"/>
    <n v="2400000"/>
    <x v="9"/>
    <d v="2017-03-15T00:00:00"/>
    <x v="1"/>
    <x v="0"/>
    <s v="Finance"/>
    <x v="0"/>
    <x v="3"/>
  </r>
  <r>
    <x v="59"/>
    <s v="São Tomé and Principe - Payments System Infrastructure and Financial Inclusion Project"/>
    <n v="1500000"/>
    <x v="24"/>
    <d v="2017-02-03T00:00:00"/>
    <x v="1"/>
    <x v="0"/>
    <s v="Finance"/>
    <x v="0"/>
    <x v="3"/>
  </r>
  <r>
    <x v="60"/>
    <s v="Kenya - Commercial Bank of Africa Limited"/>
    <n v="35416032.130000003"/>
    <x v="7"/>
    <d v="2017-01-25T00:00:00"/>
    <x v="1"/>
    <x v="3"/>
    <s v="Finance"/>
    <x v="1"/>
    <x v="3"/>
  </r>
  <r>
    <x v="61"/>
    <s v="Kenya - Commercial Bank of Africa Limited"/>
    <n v="55997447.490000002"/>
    <x v="7"/>
    <d v="2017-01-25T00:00:00"/>
    <x v="2"/>
    <x v="3"/>
    <s v="Finance"/>
    <x v="1"/>
    <x v="3"/>
  </r>
  <r>
    <x v="62"/>
    <s v="Multinational - Eastern and Southern Africa Development Bank - Line of Credit (LoC) V"/>
    <n v="127497715.67"/>
    <x v="1"/>
    <d v="2016-12-07T00:00:00"/>
    <x v="1"/>
    <x v="3"/>
    <s v="Finance"/>
    <x v="1"/>
    <x v="4"/>
  </r>
  <r>
    <x v="63"/>
    <s v="Botswana - Middle Income Countries Technical Assistance Grant to Botswana Development Corporation (BDC)"/>
    <n v="223843"/>
    <x v="14"/>
    <d v="2016-12-06T00:00:00"/>
    <x v="1"/>
    <x v="2"/>
    <s v="Finance"/>
    <x v="0"/>
    <x v="4"/>
  </r>
  <r>
    <x v="64"/>
    <s v="Burkina Faso – Coris Bank International - Line of Credit"/>
    <n v="31903818.379999999"/>
    <x v="16"/>
    <d v="2016-11-23T00:00:00"/>
    <x v="1"/>
    <x v="3"/>
    <s v="Finance"/>
    <x v="1"/>
    <x v="4"/>
  </r>
  <r>
    <x v="65"/>
    <s v="Kenya - Diamond Trust Bank Kenya Limited"/>
    <n v="53124048.189999998"/>
    <x v="7"/>
    <d v="2016-11-18T00:00:00"/>
    <x v="1"/>
    <x v="3"/>
    <s v="Finance"/>
    <x v="1"/>
    <x v="4"/>
  </r>
  <r>
    <x v="66"/>
    <s v="Tunisia - &quot;Banque de l’Habitat&quot;"/>
    <n v="50374450.079999998"/>
    <x v="13"/>
    <d v="2016-10-19T00:00:00"/>
    <x v="1"/>
    <x v="3"/>
    <s v="Finance"/>
    <x v="1"/>
    <x v="4"/>
  </r>
  <r>
    <x v="67"/>
    <s v="Egypt - Nasser Social Bank Restructuring Project - Phase I"/>
    <n v="396571"/>
    <x v="5"/>
    <d v="2016-10-11T00:00:00"/>
    <x v="2"/>
    <x v="2"/>
    <s v="Finance"/>
    <x v="0"/>
    <x v="4"/>
  </r>
  <r>
    <x v="68"/>
    <s v="Multinational - Project to Support the Promotion of Access by MFIs_x000a_(or DFSs) to the WAEMU Regional Payment System_x000a_(PASFDSPR)"/>
    <n v="4600000"/>
    <x v="1"/>
    <d v="2016-09-21T00:00:00"/>
    <x v="1"/>
    <x v="0"/>
    <s v="Finance"/>
    <x v="0"/>
    <x v="4"/>
  </r>
  <r>
    <x v="69"/>
    <s v="Multinational - Ecobank Transnational Incorporated"/>
    <n v="224743538.62"/>
    <x v="1"/>
    <d v="2016-09-21T00:00:00"/>
    <x v="2"/>
    <x v="3"/>
    <s v="Finance"/>
    <x v="1"/>
    <x v="4"/>
  </r>
  <r>
    <x v="70"/>
    <s v="Zambia - Development Bank of Zambia"/>
    <n v="26626516.129999999"/>
    <x v="19"/>
    <d v="2016-09-21T00:00:00"/>
    <x v="1"/>
    <x v="3"/>
    <s v="Finance"/>
    <x v="0"/>
    <x v="4"/>
  </r>
  <r>
    <x v="71"/>
    <s v="Togo - Projet d'appui à l'inclusion financière des femme vulnérables au Togo"/>
    <n v="1152173"/>
    <x v="25"/>
    <d v="2016-08-22T00:00:00"/>
    <x v="1"/>
    <x v="1"/>
    <s v="Finance"/>
    <x v="0"/>
    <x v="4"/>
  </r>
  <r>
    <x v="72"/>
    <s v="Morocco - Financial Stability and Inclusion Strengthening Support Programme"/>
    <n v="111539745.8"/>
    <x v="8"/>
    <d v="2016-07-13T00:00:00"/>
    <x v="2"/>
    <x v="3"/>
    <s v="Finance"/>
    <x v="0"/>
    <x v="4"/>
  </r>
  <r>
    <x v="73"/>
    <s v="Tunisia - Financial Sector Modernization Support Program"/>
    <n v="212879191.06"/>
    <x v="13"/>
    <d v="2016-07-13T00:00:00"/>
    <x v="3"/>
    <x v="3"/>
    <s v="Finance"/>
    <x v="0"/>
    <x v="4"/>
  </r>
  <r>
    <x v="74"/>
    <s v="Nigeria - First Bank of Nigeria Limited"/>
    <n v="141664128.52000001"/>
    <x v="15"/>
    <d v="2016-06-27T00:00:00"/>
    <x v="1"/>
    <x v="3"/>
    <s v="Finance"/>
    <x v="1"/>
    <x v="4"/>
  </r>
  <r>
    <x v="75"/>
    <s v="Nigeria – Line of Credit to FSDH Merchant Bank Limited"/>
    <n v="36248957.840000004"/>
    <x v="15"/>
    <d v="2016-06-27T00:00:00"/>
    <x v="2"/>
    <x v="3"/>
    <s v="Finance"/>
    <x v="1"/>
    <x v="4"/>
  </r>
  <r>
    <x v="76"/>
    <s v="Mauritania - &quot;Banque pour le Commerce et l’Industrie&quot; – Trade Finance Line of Credit"/>
    <n v="7083206.4299999997"/>
    <x v="4"/>
    <d v="2016-06-15T00:00:00"/>
    <x v="1"/>
    <x v="3"/>
    <s v="Finance"/>
    <x v="1"/>
    <x v="4"/>
  </r>
  <r>
    <x v="77"/>
    <s v="Nigeria - United Bank For Africa PLC."/>
    <n v="106248096.39"/>
    <x v="15"/>
    <d v="2016-06-08T00:00:00"/>
    <x v="1"/>
    <x v="3"/>
    <s v="Finance"/>
    <x v="1"/>
    <x v="4"/>
  </r>
  <r>
    <x v="78"/>
    <s v="Mauritania - &quot;Banque Populaire de Mauritanie&quot; (BPM) (under the Africa SME Program)"/>
    <n v="4958244.5"/>
    <x v="4"/>
    <d v="2016-05-20T00:00:00"/>
    <x v="1"/>
    <x v="3"/>
    <s v="Finance"/>
    <x v="1"/>
    <x v="4"/>
  </r>
  <r>
    <x v="79"/>
    <s v="Tanzania - CRDB Bank Limited"/>
    <n v="63748857.829999998"/>
    <x v="26"/>
    <d v="2016-05-18T00:00:00"/>
    <x v="1"/>
    <x v="3"/>
    <s v="Finance"/>
    <x v="1"/>
    <x v="4"/>
  </r>
  <r>
    <x v="80"/>
    <s v="Zimbabwe - African Trade Insurance "/>
    <n v="2080000"/>
    <x v="27"/>
    <d v="2016-05-04T00:00:00"/>
    <x v="2"/>
    <x v="1"/>
    <s v="Finance"/>
    <x v="0"/>
    <x v="4"/>
  </r>
  <r>
    <x v="81"/>
    <s v="Zimbabwe - Central Africa Building Society Zimbabwe"/>
    <n v="17708016.059999999"/>
    <x v="27"/>
    <d v="2016-04-20T00:00:00"/>
    <x v="1"/>
    <x v="3"/>
    <s v="Finance"/>
    <x v="1"/>
    <x v="4"/>
  </r>
  <r>
    <x v="82"/>
    <s v="Multinational - West African Development Bank (BOAD) - Line of Credit III"/>
    <n v="83957416.799999997"/>
    <x v="1"/>
    <d v="2016-03-23T00:00:00"/>
    <x v="1"/>
    <x v="3"/>
    <s v="Finance"/>
    <x v="1"/>
    <x v="4"/>
  </r>
  <r>
    <x v="83"/>
    <s v="Multinational - West African Development Bank (BOAD) - Line of Credit III"/>
    <n v="33582966.719999999"/>
    <x v="1"/>
    <d v="2016-03-23T00:00:00"/>
    <x v="1"/>
    <x v="3"/>
    <s v="Finance"/>
    <x v="1"/>
    <x v="4"/>
  </r>
  <r>
    <x v="84"/>
    <s v="Nigeria - Wema Bank Plc"/>
    <n v="10624809.640000001"/>
    <x v="15"/>
    <d v="2016-03-09T00:00:00"/>
    <x v="1"/>
    <x v="3"/>
    <s v="Finance"/>
    <x v="1"/>
    <x v="4"/>
  </r>
  <r>
    <x v="85"/>
    <s v="Multinational- COMESA Microfinance regulation and supervision action plan development"/>
    <n v="215705.97"/>
    <x v="1"/>
    <d v="2016-02-16T00:00:00"/>
    <x v="2"/>
    <x v="4"/>
    <s v="Finance"/>
    <x v="0"/>
    <x v="4"/>
  </r>
  <r>
    <x v="86"/>
    <s v="Angola - Line of Credit to &quot;Banco Poupanca e Credito (BPC) SA&quot;"/>
    <n v="84998477.109999999"/>
    <x v="3"/>
    <d v="2015-10-21T00:00:00"/>
    <x v="1"/>
    <x v="3"/>
    <s v="Finance"/>
    <x v="0"/>
    <x v="5"/>
  </r>
  <r>
    <x v="87"/>
    <s v="Ghana - UniBank (Ghana) Limited"/>
    <n v="10374233.17"/>
    <x v="28"/>
    <d v="2015-10-14T00:00:00"/>
    <x v="1"/>
    <x v="3"/>
    <s v="Finance"/>
    <x v="1"/>
    <x v="5"/>
  </r>
  <r>
    <x v="88"/>
    <s v="Multinational - Regional African Trade Insurance - Country Membership Programme"/>
    <n v="4970000"/>
    <x v="1"/>
    <d v="2015-09-23T00:00:00"/>
    <x v="2"/>
    <x v="0"/>
    <s v="Finance"/>
    <x v="0"/>
    <x v="5"/>
  </r>
  <r>
    <x v="89"/>
    <s v="Côte d'Ivoire - Regional African Trade Insurance Country Membership Programme (RACMP)"/>
    <n v="9930000"/>
    <x v="1"/>
    <d v="2015-09-23T00:00:00"/>
    <x v="2"/>
    <x v="0"/>
    <s v="Finance"/>
    <x v="0"/>
    <x v="5"/>
  </r>
  <r>
    <x v="90"/>
    <s v="Ethiopia- African Trade Insurance- RMC Membership Porgramme"/>
    <n v="4970000"/>
    <x v="1"/>
    <d v="2015-09-23T00:00:00"/>
    <x v="2"/>
    <x v="0"/>
    <s v="Finance"/>
    <x v="0"/>
    <x v="5"/>
  </r>
  <r>
    <x v="91"/>
    <s v="Egypt - Modernization of the Egyptian Central Bank Clearing and Settlement Depository System for Government Securities Project"/>
    <n v="891595"/>
    <x v="5"/>
    <d v="2015-07-10T00:00:00"/>
    <x v="2"/>
    <x v="2"/>
    <s v="Finance"/>
    <x v="0"/>
    <x v="5"/>
  </r>
  <r>
    <x v="92"/>
    <s v="Namibia - Development Bank of Namibia"/>
    <n v="189797338.62"/>
    <x v="29"/>
    <d v="2015-07-09T00:00:00"/>
    <x v="1"/>
    <x v="3"/>
    <s v="Finance"/>
    <x v="0"/>
    <x v="5"/>
  </r>
  <r>
    <x v="93"/>
    <s v="Morocco - Morocco Economic Competitiveness Support Programme"/>
    <n v="82757707.5"/>
    <x v="8"/>
    <d v="2015-07-08T00:00:00"/>
    <x v="2"/>
    <x v="3"/>
    <s v="Finance"/>
    <x v="0"/>
    <x v="5"/>
  </r>
  <r>
    <x v="94"/>
    <s v="Seychelles- Strengthening the Financial Market"/>
    <n v="503416"/>
    <x v="30"/>
    <d v="2015-07-08T00:00:00"/>
    <x v="2"/>
    <x v="2"/>
    <s v="Finance"/>
    <x v="0"/>
    <x v="5"/>
  </r>
  <r>
    <x v="95"/>
    <s v="Rwanda - Access Bank (Rwanda) Ltd_x000a_(under the Africa SME Program)"/>
    <n v="4401053.32"/>
    <x v="11"/>
    <d v="2015-06-15T00:00:00"/>
    <x v="1"/>
    <x v="3"/>
    <s v="Finance"/>
    <x v="1"/>
    <x v="5"/>
  </r>
  <r>
    <x v="96"/>
    <s v="Nigeria - Support for Nigerian Extractive Industries Transparency Initiatives (NEITI)"/>
    <n v="146010.31"/>
    <x v="15"/>
    <d v="2015-06-10T00:00:00"/>
    <x v="2"/>
    <x v="2"/>
    <s v="Finance"/>
    <x v="0"/>
    <x v="5"/>
  </r>
  <r>
    <x v="97"/>
    <s v="Ethiopia - Capacity building for financial inclusion in Ethiopia (M-BIRR Mobile Money)"/>
    <n v="226919.54"/>
    <x v="31"/>
    <d v="2015-01-26T00:00:00"/>
    <x v="2"/>
    <x v="4"/>
    <s v="Finance"/>
    <x v="0"/>
    <x v="5"/>
  </r>
  <r>
    <x v="98"/>
    <s v="Liberia - Technical Assistance to support Access Bank on financial inclusion"/>
    <n v="327432.43"/>
    <x v="32"/>
    <d v="2015-01-26T00:00:00"/>
    <x v="2"/>
    <x v="4"/>
    <s v="Finance"/>
    <x v="0"/>
    <x v="5"/>
  </r>
  <r>
    <x v="99"/>
    <s v="Côte d'Ivoire - Projet d'incubateur pour jeunes entrepreneurs (PRODIJE)"/>
    <n v="682604"/>
    <x v="33"/>
    <d v="2014-12-16T00:00:00"/>
    <x v="2"/>
    <x v="4"/>
    <s v="Finance"/>
    <x v="0"/>
    <x v="6"/>
  </r>
  <r>
    <x v="100"/>
    <s v="Nigeria - Development Bank of Nigeria Plc Project"/>
    <n v="315972452.95999998"/>
    <x v="15"/>
    <d v="2014-12-15T00:00:00"/>
    <x v="1"/>
    <x v="3"/>
    <s v="Finance"/>
    <x v="0"/>
    <x v="6"/>
  </r>
  <r>
    <x v="101"/>
    <s v="Nigeria - Trade mispricing the hidden drainage of resources out of Nigeria (MIC/ TAF Grant)"/>
    <n v="189810.95"/>
    <x v="15"/>
    <d v="2014-11-18T00:00:00"/>
    <x v="2"/>
    <x v="2"/>
    <s v="Finance"/>
    <x v="0"/>
    <x v="6"/>
  </r>
  <r>
    <x v="102"/>
    <s v="Kenya - Equity Bank Limited "/>
    <n v="104831455.09999999"/>
    <x v="7"/>
    <d v="2014-11-05T00:00:00"/>
    <x v="2"/>
    <x v="3"/>
    <s v="Finance"/>
    <x v="1"/>
    <x v="6"/>
  </r>
  <r>
    <x v="103"/>
    <s v="Multinational - East African Development Bank (EADB)"/>
    <n v="21249619.280000001"/>
    <x v="1"/>
    <d v="2014-10-15T00:00:00"/>
    <x v="2"/>
    <x v="3"/>
    <s v="Finance"/>
    <x v="1"/>
    <x v="6"/>
  </r>
  <r>
    <x v="104"/>
    <s v="Multinational - Microfinance Training Course for Policy and Development"/>
    <n v="172555.41"/>
    <x v="1"/>
    <d v="2014-10-03T00:00:00"/>
    <x v="2"/>
    <x v="4"/>
    <s v="Finance"/>
    <x v="0"/>
    <x v="6"/>
  </r>
  <r>
    <x v="105"/>
    <s v="Morocco - Financial Sector Development Support Programme – Phase III (PADESFI III)"/>
    <n v="82867892.010000005"/>
    <x v="8"/>
    <d v="2014-10-01T00:00:00"/>
    <x v="2"/>
    <x v="3"/>
    <s v="Finance"/>
    <x v="0"/>
    <x v="6"/>
  </r>
  <r>
    <x v="106"/>
    <s v="Nigeria - LAPO Microfinance Bank Ltd."/>
    <n v="5630662.8200000003"/>
    <x v="15"/>
    <d v="2014-10-01T00:00:00"/>
    <x v="2"/>
    <x v="3"/>
    <s v="Finance"/>
    <x v="1"/>
    <x v="6"/>
  </r>
  <r>
    <x v="107"/>
    <s v="Burkina Faso- Private Sector Credit Enhancement Facility (PSF) - Recommended Financial Sector Participations"/>
    <n v="1998321.41"/>
    <x v="16"/>
    <d v="2014-06-19T00:00:00"/>
    <x v="2"/>
    <x v="3"/>
    <s v="Finance"/>
    <x v="1"/>
    <x v="6"/>
  </r>
  <r>
    <x v="108"/>
    <s v="Multinational - African Export-Import Bank"/>
    <n v="107852371.67"/>
    <x v="1"/>
    <d v="2014-05-28T00:00:00"/>
    <x v="1"/>
    <x v="3"/>
    <s v="Finance"/>
    <x v="1"/>
    <x v="6"/>
  </r>
  <r>
    <x v="109"/>
    <s v="Nigeria - Access Bank PLC"/>
    <n v="70832064.260000005"/>
    <x v="15"/>
    <d v="2014-05-15T00:00:00"/>
    <x v="1"/>
    <x v="3"/>
    <s v="Finance"/>
    <x v="1"/>
    <x v="6"/>
  </r>
  <r>
    <x v="110"/>
    <s v="Mozambique - Moza Banco S.A._x000a_(under the Africa SME Program)"/>
    <n v="12789307.33"/>
    <x v="12"/>
    <d v="2014-04-11T00:00:00"/>
    <x v="1"/>
    <x v="3"/>
    <s v="Finance"/>
    <x v="1"/>
    <x v="6"/>
  </r>
  <r>
    <x v="111"/>
    <s v="Nigeria - Stanbic IBTC Bank PLC"/>
    <n v="885400.8"/>
    <x v="15"/>
    <d v="2014-03-26T00:00:00"/>
    <x v="1"/>
    <x v="3"/>
    <s v="Finance"/>
    <x v="1"/>
    <x v="6"/>
  </r>
  <r>
    <x v="112"/>
    <s v="Nigeria - Zenith Bank PLC"/>
    <n v="88540080.319999993"/>
    <x v="15"/>
    <d v="2014-03-26T00:00:00"/>
    <x v="1"/>
    <x v="3"/>
    <s v="Finance"/>
    <x v="1"/>
    <x v="6"/>
  </r>
  <r>
    <x v="113"/>
    <s v="Regional - The Company for Habitat and Housing in Africa / Shelter Afrique"/>
    <n v="14499583.140000001"/>
    <x v="1"/>
    <d v="2013-12-11T00:00:00"/>
    <x v="1"/>
    <x v="3"/>
    <s v="Finance"/>
    <x v="1"/>
    <x v="7"/>
  </r>
  <r>
    <x v="114"/>
    <s v="Zambia - CETZAM Financial Services PLC (under the Africa SME Program)"/>
    <n v="1087358.3700000001"/>
    <x v="19"/>
    <d v="2013-10-21T00:00:00"/>
    <x v="2"/>
    <x v="3"/>
    <s v="Finance"/>
    <x v="1"/>
    <x v="7"/>
  </r>
  <r>
    <x v="115"/>
    <s v="Multinational - Eastern and Southern African Trade and Development Bank (PTA Bank)"/>
    <n v="35416032.130000003"/>
    <x v="1"/>
    <d v="2013-10-02T00:00:00"/>
    <x v="1"/>
    <x v="3"/>
    <s v="Finance"/>
    <x v="1"/>
    <x v="7"/>
  </r>
  <r>
    <x v="116"/>
    <s v="Mauritius - Mauritius Commercial Bank (MCB)"/>
    <n v="106248096.39"/>
    <x v="2"/>
    <d v="2013-09-11T00:00:00"/>
    <x v="1"/>
    <x v="3"/>
    <s v="Finance"/>
    <x v="1"/>
    <x v="7"/>
  </r>
  <r>
    <x v="117"/>
    <s v="Tunisia - BFPME: Boosting Private Sector Development Through Small and Medium Enterprise Creation and Expansion"/>
    <n v="566716.73"/>
    <x v="13"/>
    <d v="2013-08-05T00:00:00"/>
    <x v="1"/>
    <x v="4"/>
    <s v="Finance"/>
    <x v="0"/>
    <x v="7"/>
  </r>
  <r>
    <x v="118"/>
    <s v="Nigeria - Fidelity Bank Plc"/>
    <n v="53124048.189999998"/>
    <x v="15"/>
    <d v="2013-07-17T00:00:00"/>
    <x v="1"/>
    <x v="3"/>
    <s v="Finance"/>
    <x v="1"/>
    <x v="7"/>
  </r>
  <r>
    <x v="119"/>
    <s v="Ghana - UT Bank Limited Trade Finance Line of Credit"/>
    <n v="14374115.09"/>
    <x v="28"/>
    <d v="2013-05-22T00:00:00"/>
    <x v="2"/>
    <x v="3"/>
    <s v="Finance"/>
    <x v="1"/>
    <x v="7"/>
  </r>
  <r>
    <x v="120"/>
    <s v="Kenya - Risk participation agreement to Imperial Bank Kenya in respect of Commerzbank"/>
    <n v="594072.68000000005"/>
    <x v="7"/>
    <d v="2013-05-22T00:00:00"/>
    <x v="1"/>
    <x v="3"/>
    <s v="Finance"/>
    <x v="1"/>
    <x v="7"/>
  </r>
  <r>
    <x v="121"/>
    <s v="FAPA- EADB 2013"/>
    <n v="632828.22"/>
    <x v="1"/>
    <d v="2013-05-01T00:00:00"/>
    <x v="2"/>
    <x v="4"/>
    <s v="Finance"/>
    <x v="0"/>
    <x v="7"/>
  </r>
  <r>
    <x v="122"/>
    <s v="Maroc- Projet d’appui à la modernisation du cadre organisationnel de gestion de la dette (P-MOCOGEDE)"/>
    <n v="536976"/>
    <x v="8"/>
    <d v="2013-02-27T00:00:00"/>
    <x v="1"/>
    <x v="2"/>
    <s v="Finance"/>
    <x v="0"/>
    <x v="7"/>
  </r>
  <r>
    <x v="123"/>
    <s v="FAPA  Technical Assistance ECOWAS Bank for Investment and Development (EBID-BIDC)"/>
    <n v="675686.24"/>
    <x v="1"/>
    <d v="2013-02-26T00:00:00"/>
    <x v="2"/>
    <x v="4"/>
    <s v="Finance"/>
    <x v="0"/>
    <x v="7"/>
  </r>
  <r>
    <x v="124"/>
    <s v="Regional - Ecobank Transnational Incorporated Trade Finance Package "/>
    <n v="70650407.650000006"/>
    <x v="1"/>
    <d v="2013-02-20T00:00:00"/>
    <x v="2"/>
    <x v="3"/>
    <s v="Finance"/>
    <x v="1"/>
    <x v="7"/>
  </r>
  <r>
    <x v="125"/>
    <s v="Regional - Ecobank Transnational Incorporated Trade Finance Package "/>
    <n v="64687655.649999999"/>
    <x v="1"/>
    <d v="2013-02-20T00:00:00"/>
    <x v="2"/>
    <x v="3"/>
    <s v="Finance"/>
    <x v="1"/>
    <x v="7"/>
  </r>
  <r>
    <x v="126"/>
    <s v="Niger - Société Nigérienne de Banque (Sonibank)"/>
    <n v="10912815"/>
    <x v="34"/>
    <d v="2013-01-16T00:00:00"/>
    <x v="1"/>
    <x v="3"/>
    <s v="Finance"/>
    <x v="1"/>
    <x v="7"/>
  </r>
  <r>
    <x v="127"/>
    <s v="South Sudan - Institutional Support Project to Public Finance Management and Aid Coordination (PFAID)"/>
    <n v="4800000"/>
    <x v="23"/>
    <d v="2012-12-19T00:00:00"/>
    <x v="2"/>
    <x v="1"/>
    <s v="Finance"/>
    <x v="0"/>
    <x v="8"/>
  </r>
  <r>
    <x v="128"/>
    <s v="Nigeria - Naira line of credit to FirstRand Bank subsidiary, Rand Merchant Bank Nigeria Limited"/>
    <n v="25558386.600000001"/>
    <x v="15"/>
    <d v="2012-12-12T00:00:00"/>
    <x v="1"/>
    <x v="3"/>
    <s v="Finance"/>
    <x v="1"/>
    <x v="8"/>
  </r>
  <r>
    <x v="129"/>
    <s v="Tanzania - Shilling line of credit to FirstRand Bank subsidiary, First National Bank of Tanzania Limited"/>
    <n v="14117912.810000001"/>
    <x v="26"/>
    <d v="2012-12-12T00:00:00"/>
    <x v="1"/>
    <x v="3"/>
    <s v="Finance"/>
    <x v="1"/>
    <x v="8"/>
  </r>
  <r>
    <x v="130"/>
    <s v="Zambia - Line of credit to first national Bank subsidiary, First National Bank of Zambia Limited"/>
    <n v="31143442.010000002"/>
    <x v="19"/>
    <d v="2012-12-12T00:00:00"/>
    <x v="1"/>
    <x v="3"/>
    <s v="Finance"/>
    <x v="1"/>
    <x v="8"/>
  </r>
  <r>
    <x v="131"/>
    <s v="Multinational -  East African Community - Payment and Settlement Systems Integration Project"/>
    <n v="15000000"/>
    <x v="1"/>
    <d v="2012-12-05T00:00:00"/>
    <x v="1"/>
    <x v="0"/>
    <s v="Finance"/>
    <x v="0"/>
    <x v="8"/>
  </r>
  <r>
    <x v="132"/>
    <s v="Projet d'elaboration du Code Monetaire et Financier"/>
    <n v="489258"/>
    <x v="8"/>
    <d v="2012-09-20T00:00:00"/>
    <x v="2"/>
    <x v="2"/>
    <s v="Finance"/>
    <x v="0"/>
    <x v="8"/>
  </r>
  <r>
    <x v="133"/>
    <s v="Algeria - Project to Strengthen Support for the Supervision of the Implementation of Plans to Modernize Information Systems of Public Banks"/>
    <n v="750000"/>
    <x v="35"/>
    <d v="2012-08-17T00:00:00"/>
    <x v="2"/>
    <x v="2"/>
    <s v="Finance"/>
    <x v="0"/>
    <x v="8"/>
  </r>
  <r>
    <x v="134"/>
    <s v="South Africa - Land and Agricultural Development Bank of South Africa"/>
    <n v="40592158.409999996"/>
    <x v="20"/>
    <d v="2012-06-20T00:00:00"/>
    <x v="1"/>
    <x v="3"/>
    <s v="Finance"/>
    <x v="0"/>
    <x v="8"/>
  </r>
  <r>
    <x v="135"/>
    <s v="Tanzania - FAPA  Grant to Enterprise Financial Centers"/>
    <n v="668786.99"/>
    <x v="26"/>
    <d v="2012-06-05T00:00:00"/>
    <x v="2"/>
    <x v="4"/>
    <s v="Finance"/>
    <x v="0"/>
    <x v="8"/>
  </r>
  <r>
    <x v="136"/>
    <s v="FAPA  Grant to Enterprise Financial Centers "/>
    <n v="695858.16"/>
    <x v="17"/>
    <d v="2012-06-05T00:00:00"/>
    <x v="2"/>
    <x v="4"/>
    <s v="Finance"/>
    <x v="1"/>
    <x v="8"/>
  </r>
  <r>
    <x v="137"/>
    <s v="Multinational - Africa Finance Corporation"/>
    <n v="141664128.52000001"/>
    <x v="1"/>
    <d v="2012-02-15T00:00:00"/>
    <x v="1"/>
    <x v="3"/>
    <s v="Finance"/>
    <x v="1"/>
    <x v="8"/>
  </r>
  <r>
    <x v="138"/>
    <s v="Strenghtening debt management capacity initiative"/>
    <n v="49735.11"/>
    <x v="1"/>
    <d v="2011-12-15T00:00:00"/>
    <x v="2"/>
    <x v="6"/>
    <s v="Finance"/>
    <x v="0"/>
    <x v="9"/>
  </r>
  <r>
    <x v="139"/>
    <s v="Namibia - Trustco Finance"/>
    <n v="2831997.21"/>
    <x v="29"/>
    <d v="2011-12-07T00:00:00"/>
    <x v="2"/>
    <x v="3"/>
    <s v="Finance"/>
    <x v="1"/>
    <x v="9"/>
  </r>
  <r>
    <x v="140"/>
    <s v="Central Bank of Sierra Leone Capacity Building Component of The Financial Sector Development Plan"/>
    <n v="807018"/>
    <x v="21"/>
    <d v="2011-11-30T00:00:00"/>
    <x v="2"/>
    <x v="1"/>
    <s v="Finance"/>
    <x v="0"/>
    <x v="9"/>
  </r>
  <r>
    <x v="141"/>
    <s v="Morocco - Financial Sector Development Support Programme - Phase II_x000a_"/>
    <n v="185624078.09"/>
    <x v="8"/>
    <d v="2011-11-23T00:00:00"/>
    <x v="2"/>
    <x v="3"/>
    <s v="Finance"/>
    <x v="0"/>
    <x v="9"/>
  </r>
  <r>
    <x v="142"/>
    <s v="Uganda - Housing Finance Bank Limited"/>
    <n v="8389401.7300000004"/>
    <x v="17"/>
    <d v="2011-11-23T00:00:00"/>
    <x v="1"/>
    <x v="3"/>
    <s v="Finance"/>
    <x v="1"/>
    <x v="9"/>
  </r>
  <r>
    <x v="143"/>
    <s v="Uganda - Housing Finance Bank Limited"/>
    <n v="3541603.21"/>
    <x v="17"/>
    <d v="2011-11-23T00:00:00"/>
    <x v="1"/>
    <x v="3"/>
    <s v="Finance"/>
    <x v="1"/>
    <x v="9"/>
  </r>
  <r>
    <x v="144"/>
    <s v="Algeria - Ministry of Finance Capacity Building Program"/>
    <n v="497000"/>
    <x v="35"/>
    <d v="2011-11-15T00:00:00"/>
    <x v="2"/>
    <x v="2"/>
    <s v="Finance"/>
    <x v="0"/>
    <x v="9"/>
  </r>
  <r>
    <x v="145"/>
    <s v="Tunisia - Line of Credit in Support of Small and Medium-Sized Enterprises"/>
    <n v="36248957.840000004"/>
    <x v="13"/>
    <d v="2011-07-13T00:00:00"/>
    <x v="2"/>
    <x v="3"/>
    <s v="Finance"/>
    <x v="0"/>
    <x v="9"/>
  </r>
  <r>
    <x v="146"/>
    <s v="Mali - Banque Malienne de Solidarité"/>
    <n v="4617657.92"/>
    <x v="6"/>
    <d v="2011-07-06T00:00:00"/>
    <x v="1"/>
    <x v="3"/>
    <s v="Finance"/>
    <x v="1"/>
    <x v="9"/>
  </r>
  <r>
    <x v="147"/>
    <s v="Nigeria - Domestic-oriented SME Financing Program"/>
    <n v="70832064.260000005"/>
    <x v="15"/>
    <d v="2011-05-26T00:00:00"/>
    <x v="1"/>
    <x v="3"/>
    <s v="Finance"/>
    <x v="0"/>
    <x v="9"/>
  </r>
  <r>
    <x v="148"/>
    <s v="Nigeria - Export-oriented SME Financing Program"/>
    <n v="35416032.130000003"/>
    <x v="15"/>
    <d v="2011-05-26T00:00:00"/>
    <x v="1"/>
    <x v="3"/>
    <s v="Finance"/>
    <x v="0"/>
    <x v="9"/>
  </r>
  <r>
    <x v="149"/>
    <s v="Multinational - West African Development Bank (WADB)"/>
    <n v="53732746.75"/>
    <x v="1"/>
    <d v="2011-02-23T00:00:00"/>
    <x v="1"/>
    <x v="3"/>
    <s v="Finance"/>
    <x v="1"/>
    <x v="9"/>
  </r>
  <r>
    <x v="150"/>
    <s v="Multinational - Fifth Line of Credit to the Development Bank of Southern Africa Limited"/>
    <n v="211429900.41999999"/>
    <x v="20"/>
    <d v="2011-02-03T00:00:00"/>
    <x v="1"/>
    <x v="3"/>
    <s v="Finance"/>
    <x v="1"/>
    <x v="9"/>
  </r>
  <r>
    <x v="151"/>
    <s v="Projet d’appui au renforcement du système national de garantie en faveur des PME et des populations cibles (PARSNG)"/>
    <n v="464988"/>
    <x v="8"/>
    <d v="2011-01-19T00:00:00"/>
    <x v="2"/>
    <x v="2"/>
    <s v="Finance"/>
    <x v="0"/>
    <x v="9"/>
  </r>
  <r>
    <x v="152"/>
    <s v="Rwanda Development Bank , Technical Assistance ( Fapa)"/>
    <n v="538600.43000000005"/>
    <x v="11"/>
    <d v="2011-01-11T00:00:00"/>
    <x v="2"/>
    <x v="4"/>
    <s v="Finance"/>
    <x v="0"/>
    <x v="9"/>
  </r>
  <r>
    <x v="153"/>
    <s v="Rwanda - Institutional Capacity Building Project"/>
    <n v="203963.98"/>
    <x v="11"/>
    <d v="2011-01-11T00:00:00"/>
    <x v="2"/>
    <x v="4"/>
    <s v="Finance"/>
    <x v="1"/>
    <x v="9"/>
  </r>
  <r>
    <x v="154"/>
    <s v="Projet d’appui au renforcement de la supervision et du contrôle des marchés financiers (PARSCMF)"/>
    <n v="480350"/>
    <x v="8"/>
    <d v="2010-12-13T00:00:00"/>
    <x v="2"/>
    <x v="2"/>
    <s v="Finance"/>
    <x v="0"/>
    <x v="10"/>
  </r>
  <r>
    <x v="155"/>
    <s v="Rwanda - Banque Rwandaise de Développement"/>
    <n v="5666565.1399999997"/>
    <x v="11"/>
    <d v="2010-11-19T00:00:00"/>
    <x v="1"/>
    <x v="3"/>
    <s v="Finance"/>
    <x v="1"/>
    <x v="10"/>
  </r>
  <r>
    <x v="156"/>
    <s v="Rwanda - Bank of Kigali"/>
    <n v="8499847.7100000009"/>
    <x v="11"/>
    <d v="2010-11-19T00:00:00"/>
    <x v="1"/>
    <x v="3"/>
    <s v="Finance"/>
    <x v="1"/>
    <x v="10"/>
  </r>
  <r>
    <x v="157"/>
    <s v="Multinational - West African Monetary Zone Payments System Development Project (The Gambia, Guinea, Sierra Leone and Liberia)"/>
    <n v="5000000"/>
    <x v="1"/>
    <d v="2010-11-09T00:00:00"/>
    <x v="2"/>
    <x v="0"/>
    <s v="Finance"/>
    <x v="0"/>
    <x v="10"/>
  </r>
  <r>
    <x v="158"/>
    <s v="Payment &amp; Settlement Development &amp; Integration in the East African Community (EAC)"/>
    <n v="53290.7"/>
    <x v="1"/>
    <d v="2010-11-04T00:00:00"/>
    <x v="2"/>
    <x v="6"/>
    <s v="Finance"/>
    <x v="0"/>
    <x v="10"/>
  </r>
  <r>
    <x v="159"/>
    <s v="Multinational - Feasibility Study of the Project for the Establishment of the Fund for the Development and Financing of the Transport and Energy Sectors of the Economic Community of West African States (FODETE-ECOWAS)"/>
    <n v="652415.02"/>
    <x v="1"/>
    <d v="2010-07-30T00:00:00"/>
    <x v="2"/>
    <x v="7"/>
    <s v="Finance"/>
    <x v="0"/>
    <x v="10"/>
  </r>
  <r>
    <x v="160"/>
    <s v="Multinational - African Export-Import Bank"/>
    <n v="106472083.02"/>
    <x v="1"/>
    <d v="2010-07-19T00:00:00"/>
    <x v="1"/>
    <x v="3"/>
    <s v="Finance"/>
    <x v="1"/>
    <x v="10"/>
  </r>
  <r>
    <x v="161"/>
    <s v="Nigeria - Guaranty Trust Bank Plc"/>
    <n v="62245399.030000001"/>
    <x v="15"/>
    <d v="2010-06-23T00:00:00"/>
    <x v="2"/>
    <x v="3"/>
    <s v="Finance"/>
    <x v="1"/>
    <x v="10"/>
  </r>
  <r>
    <x v="162"/>
    <s v="Report on the observance of Standards &amp; Codes"/>
    <n v="50354.92"/>
    <x v="1"/>
    <d v="2010-05-21T00:00:00"/>
    <x v="2"/>
    <x v="6"/>
    <s v="Finance"/>
    <x v="0"/>
    <x v="10"/>
  </r>
  <r>
    <x v="163"/>
    <s v="South Africa - Line of Credit to the Industrial Development Corporation of South Africa"/>
    <n v="141664128.52000001"/>
    <x v="20"/>
    <d v="2010-05-19T00:00:00"/>
    <x v="1"/>
    <x v="3"/>
    <s v="Finance"/>
    <x v="1"/>
    <x v="10"/>
  </r>
  <r>
    <x v="164"/>
    <s v="Côte D'Ivoire - Equity Participation in &quot;MicroCred Côte d’Ivoire&quot;"/>
    <n v="737001.14"/>
    <x v="33"/>
    <d v="2010-04-16T00:00:00"/>
    <x v="2"/>
    <x v="4"/>
    <s v="Finance"/>
    <x v="0"/>
    <x v="10"/>
  </r>
  <r>
    <x v="165"/>
    <s v="Multinational - Banque de Développement des Etats de l'Afrique Centrale (BDEAC) - FAPA  Grant"/>
    <n v="646985.37"/>
    <x v="1"/>
    <d v="2010-02-05T00:00:00"/>
    <x v="2"/>
    <x v="4"/>
    <s v="Finance"/>
    <x v="0"/>
    <x v="10"/>
  </r>
  <r>
    <x v="166"/>
    <s v="Morocco - The Financial Sector Development Support Programme"/>
    <n v="134245985.05000001"/>
    <x v="8"/>
    <d v="2009-12-09T00:00:00"/>
    <x v="2"/>
    <x v="3"/>
    <s v="Finance"/>
    <x v="0"/>
    <x v="11"/>
  </r>
  <r>
    <x v="167"/>
    <s v="Multinational - African Trade Insurance"/>
    <n v="649350.65"/>
    <x v="1"/>
    <d v="2009-10-22T00:00:00"/>
    <x v="2"/>
    <x v="4"/>
    <s v="Finance"/>
    <x v="0"/>
    <x v="11"/>
  </r>
  <r>
    <x v="168"/>
    <s v="African Tax Administration Forum (ATAF) for Analytical Work &amp; consolidation Meeting 2009-2011"/>
    <n v="91228.35"/>
    <x v="1"/>
    <d v="2009-10-09T00:00:00"/>
    <x v="2"/>
    <x v="6"/>
    <s v="Finance"/>
    <x v="0"/>
    <x v="11"/>
  </r>
  <r>
    <x v="169"/>
    <s v="Nigeria - ABN Microfinance Bank Nigeria (ABN) - TA"/>
    <n v="651856.49"/>
    <x v="15"/>
    <d v="2009-09-01T00:00:00"/>
    <x v="2"/>
    <x v="4"/>
    <s v="Finance"/>
    <x v="0"/>
    <x v="11"/>
  </r>
  <r>
    <x v="170"/>
    <s v="Access Bank of Tanzania Technical Assistance FAPA Grant"/>
    <n v="430225.28"/>
    <x v="26"/>
    <d v="2009-08-05T00:00:00"/>
    <x v="2"/>
    <x v="4"/>
    <s v="Finance"/>
    <x v="0"/>
    <x v="11"/>
  </r>
  <r>
    <x v="171"/>
    <s v="Nigeria - Line of Credit to Zenith Bank Plc under the Emergency Liquidity Facility"/>
    <n v="36245279.049999997"/>
    <x v="15"/>
    <d v="2009-07-22T00:00:00"/>
    <x v="2"/>
    <x v="3"/>
    <s v="Finance"/>
    <x v="1"/>
    <x v="11"/>
  </r>
  <r>
    <x v="172"/>
    <s v="Nigeria - Line of Credit to the United Bank for Africa Plc under the Emergency Liquidity Facility"/>
    <n v="32592824.359999999"/>
    <x v="15"/>
    <d v="2009-07-22T00:00:00"/>
    <x v="2"/>
    <x v="3"/>
    <s v="Finance"/>
    <x v="1"/>
    <x v="11"/>
  </r>
  <r>
    <x v="173"/>
    <s v="Nigeria - Line of Credit to the United Bank for Africa Plc under the Trade Finance Initiative"/>
    <n v="65185648.729999997"/>
    <x v="15"/>
    <d v="2009-07-22T00:00:00"/>
    <x v="2"/>
    <x v="3"/>
    <s v="Finance"/>
    <x v="1"/>
    <x v="11"/>
  </r>
  <r>
    <x v="174"/>
    <s v="Zambia - Technical Assistance Project for Zambia Pulse Financial Services"/>
    <n v="607142.86"/>
    <x v="19"/>
    <d v="2009-07-13T00:00:00"/>
    <x v="2"/>
    <x v="4"/>
    <s v="Finance"/>
    <x v="0"/>
    <x v="11"/>
  </r>
  <r>
    <x v="175"/>
    <s v="Multinational - Line of Credit to the Company for Habitat and Housing in Africa (&quot;Shelter-Afrique&quot;)"/>
    <n v="21749374.710000001"/>
    <x v="1"/>
    <d v="2009-02-18T00:00:00"/>
    <x v="1"/>
    <x v="3"/>
    <s v="Finance"/>
    <x v="1"/>
    <x v="11"/>
  </r>
  <r>
    <x v="176"/>
    <s v="African Financing Partnership (AFP)"/>
    <n v="122899.01"/>
    <x v="1"/>
    <d v="2009-02-17T00:00:00"/>
    <x v="1"/>
    <x v="6"/>
    <s v="Finance"/>
    <x v="0"/>
    <x v="11"/>
  </r>
  <r>
    <x v="177"/>
    <s v="Collaboration en matière de réforme budgétaire africaine (CABRI)"/>
    <n v="176925.13"/>
    <x v="20"/>
    <d v="2008-12-03T00:00:00"/>
    <x v="2"/>
    <x v="6"/>
    <s v="Finance"/>
    <x v="0"/>
    <x v="12"/>
  </r>
  <r>
    <x v="178"/>
    <s v="Zambia - FAPA  Technical Assistance for Zambian Small and medium-sized enterprises (SMEs)"/>
    <n v="634472.05000000005"/>
    <x v="19"/>
    <d v="2008-11-10T00:00:00"/>
    <x v="2"/>
    <x v="4"/>
    <s v="Finance"/>
    <x v="0"/>
    <x v="12"/>
  </r>
  <r>
    <x v="179"/>
    <s v="Liberia - Technical Assistance for Access Bank"/>
    <n v="651856.49"/>
    <x v="32"/>
    <d v="2008-11-05T00:00:00"/>
    <x v="2"/>
    <x v="4"/>
    <s v="Finance"/>
    <x v="0"/>
    <x v="12"/>
  </r>
  <r>
    <x v="180"/>
    <s v="Zambia - Partial Credit Guarantee Facility to Zambia National Commercial Bank Plc"/>
    <n v="8662279.4499999993"/>
    <x v="19"/>
    <d v="2008-09-24T00:00:00"/>
    <x v="2"/>
    <x v="3"/>
    <s v="Finance"/>
    <x v="1"/>
    <x v="12"/>
  </r>
  <r>
    <x v="181"/>
    <s v="Zambia - Line of Credit to Investrust Bank Plc"/>
    <n v="2360749.5"/>
    <x v="19"/>
    <d v="2008-09-24T00:00:00"/>
    <x v="2"/>
    <x v="3"/>
    <s v="Finance"/>
    <x v="1"/>
    <x v="12"/>
  </r>
  <r>
    <x v="182"/>
    <s v="South Africa - Line of Credit to Standard Bank of South Africa"/>
    <n v="163650294.19999999"/>
    <x v="20"/>
    <d v="2008-09-11T00:00:00"/>
    <x v="1"/>
    <x v="3"/>
    <s v="Finance"/>
    <x v="1"/>
    <x v="12"/>
  </r>
  <r>
    <x v="183"/>
    <s v="South Africa - Line of Credit to Nedbank Limited"/>
    <n v="72315469"/>
    <x v="20"/>
    <d v="2008-09-11T00:00:00"/>
    <x v="1"/>
    <x v="3"/>
    <s v="Finance"/>
    <x v="1"/>
    <x v="12"/>
  </r>
  <r>
    <x v="184"/>
    <s v="Ghana - Line of Credit to CAL Bank Limited "/>
    <n v="10685739.52"/>
    <x v="28"/>
    <d v="2008-07-24T00:00:00"/>
    <x v="2"/>
    <x v="3"/>
    <s v="Finance"/>
    <x v="1"/>
    <x v="12"/>
  </r>
  <r>
    <x v="185"/>
    <s v="Mauritania - Line of Credit to the &quot;Banque pour le Commerce et l'Industrie&quot;"/>
    <n v="5799244.6500000004"/>
    <x v="4"/>
    <d v="2008-07-17T00:00:00"/>
    <x v="2"/>
    <x v="3"/>
    <s v="Finance"/>
    <x v="1"/>
    <x v="12"/>
  </r>
  <r>
    <x v="186"/>
    <s v="Mauritania - Line of Credit to Mauritania Leasing"/>
    <n v="3624527.91"/>
    <x v="4"/>
    <d v="2008-07-17T00:00:00"/>
    <x v="2"/>
    <x v="3"/>
    <s v="Finance"/>
    <x v="1"/>
    <x v="12"/>
  </r>
  <r>
    <x v="187"/>
    <s v="Multinational - West African Monetary Zone Payment System Development Project (The Gambia, Guinea and Sierra Leone)"/>
    <n v="14000000"/>
    <x v="1"/>
    <d v="2008-07-09T00:00:00"/>
    <x v="2"/>
    <x v="0"/>
    <s v="Finance"/>
    <x v="0"/>
    <x v="12"/>
  </r>
  <r>
    <x v="188"/>
    <s v="Multinational - Third Line of Credit to the Eastern and Southern African Trade and development Bank (PTA Bank)"/>
    <n v="37118994.829999998"/>
    <x v="1"/>
    <d v="2008-03-12T00:00:00"/>
    <x v="2"/>
    <x v="3"/>
    <s v="Finance"/>
    <x v="1"/>
    <x v="12"/>
  </r>
  <r>
    <x v="189"/>
    <s v="Advans Banque (Congo)"/>
    <n v="610389.61"/>
    <x v="18"/>
    <d v="2008-02-04T00:00:00"/>
    <x v="2"/>
    <x v="4"/>
    <s v="Finance"/>
    <x v="0"/>
    <x v="12"/>
  </r>
  <r>
    <x v="190"/>
    <s v="Banque ouest africaine de développement (BOAD), assitance technique, FAPA"/>
    <n v="621219.23"/>
    <x v="1"/>
    <d v="2008-02-04T00:00:00"/>
    <x v="2"/>
    <x v="4"/>
    <s v="Finance"/>
    <x v="0"/>
    <x v="12"/>
  </r>
  <r>
    <x v="191"/>
    <s v="Multinational - Third Line of Credit to the West African Development Bank (BOAD)"/>
    <n v="33903189.439999998"/>
    <x v="1"/>
    <d v="2008-01-30T00:00:00"/>
    <x v="2"/>
    <x v="3"/>
    <s v="Finance"/>
    <x v="1"/>
    <x v="12"/>
  </r>
  <r>
    <x v="192"/>
    <s v="Cameroon - Growth-Oriented Women Enterprises Development Programme_x000a_(GOWE)"/>
    <n v="345483.94"/>
    <x v="36"/>
    <d v="2007-12-27T00:00:00"/>
    <x v="3"/>
    <x v="4"/>
    <s v="Finance"/>
    <x v="0"/>
    <x v="13"/>
  </r>
  <r>
    <x v="193"/>
    <s v="Multinational - Shelter-Afrique"/>
    <n v="619263.66"/>
    <x v="1"/>
    <d v="2007-12-27T00:00:00"/>
    <x v="2"/>
    <x v="4"/>
    <s v="Finance"/>
    <x v="0"/>
    <x v="13"/>
  </r>
  <r>
    <x v="194"/>
    <s v="Institutionnal Support to National Bank of Egypt (Mic)"/>
    <n v="300000"/>
    <x v="5"/>
    <d v="2007-03-31T00:00:00"/>
    <x v="2"/>
    <x v="2"/>
    <s v="Finance"/>
    <x v="0"/>
    <x v="13"/>
  </r>
  <r>
    <x v="195"/>
    <s v="Nigeria - Second Line of Credit to Zenith Bank PLC"/>
    <n v="64698537.170000002"/>
    <x v="15"/>
    <d v="2006-12-13T00:00:00"/>
    <x v="2"/>
    <x v="3"/>
    <s v="Finance"/>
    <x v="1"/>
    <x v="14"/>
  </r>
  <r>
    <x v="196"/>
    <s v="Line of Credit to Access Bank Plc - Nigeria"/>
    <n v="25075046.030000001"/>
    <x v="15"/>
    <d v="2006-12-13T00:00:00"/>
    <x v="2"/>
    <x v="3"/>
    <s v="Finance"/>
    <x v="1"/>
    <x v="14"/>
  </r>
  <r>
    <x v="197"/>
    <s v="Egypt - Financial Sector Reform Programme (FRSP-1)"/>
    <n v="354160321.29000002"/>
    <x v="5"/>
    <d v="2006-07-26T00:00:00"/>
    <x v="2"/>
    <x v="3"/>
    <s v="Finance"/>
    <x v="0"/>
    <x v="14"/>
  </r>
  <r>
    <x v="198"/>
    <s v="South Africa - Fourth Line of Credit to DBSA - Development Bank of Southern Africa"/>
    <n v="73700114.239999995"/>
    <x v="20"/>
    <d v="2006-07-21T00:00:00"/>
    <x v="1"/>
    <x v="3"/>
    <s v="Finance"/>
    <x v="1"/>
    <x v="14"/>
  </r>
  <r>
    <x v="199"/>
    <s v="LOC to Guarantee Trust Bank"/>
    <n v="26074259.489999998"/>
    <x v="15"/>
    <d v="2005-12-12T00:00:00"/>
    <x v="2"/>
    <x v="3"/>
    <s v="Finance"/>
    <x v="1"/>
    <x v="15"/>
  </r>
  <r>
    <x v="200"/>
    <s v="Sme Support Project - Second Line of Credit to National Bank of Egypt (2nd LOC Nbe)"/>
    <n v="146162503.47"/>
    <x v="5"/>
    <d v="2005-10-12T00:00:00"/>
    <x v="2"/>
    <x v="3"/>
    <s v="Finance"/>
    <x v="0"/>
    <x v="15"/>
  </r>
  <r>
    <x v="201"/>
    <s v="Financial Sector Technical Assistance Project (Fstap)"/>
    <n v="6800000"/>
    <x v="12"/>
    <d v="2005-10-04T00:00:00"/>
    <x v="2"/>
    <x v="0"/>
    <s v="Finance"/>
    <x v="0"/>
    <x v="15"/>
  </r>
  <r>
    <x v="202"/>
    <s v="Tunisia - Competitiveness Support Programme III (PAC III)"/>
    <n v="92936064.75"/>
    <x v="13"/>
    <d v="2005-09-21T00:00:00"/>
    <x v="2"/>
    <x v="3"/>
    <s v="Finance"/>
    <x v="0"/>
    <x v="15"/>
  </r>
  <r>
    <x v="203"/>
    <s v="Line of Credit to Zenith Bank Plc"/>
    <n v="45629954.109999999"/>
    <x v="15"/>
    <d v="2005-03-02T00:00:00"/>
    <x v="2"/>
    <x v="3"/>
    <s v="Finance"/>
    <x v="1"/>
    <x v="15"/>
  </r>
  <r>
    <x v="204"/>
    <s v="South Africa - Non-Sovereign Guaranteed Line of Credit Agreement"/>
    <n v="10636968.449999999"/>
    <x v="20"/>
    <d v="2004-11-05T00:00:00"/>
    <x v="1"/>
    <x v="3"/>
    <s v="Finance"/>
    <x v="1"/>
    <x v="16"/>
  </r>
  <r>
    <x v="205"/>
    <s v="LOC to The National Development Bank (Ndb)"/>
    <n v="19732298.48"/>
    <x v="14"/>
    <d v="2004-10-08T00:00:00"/>
    <x v="2"/>
    <x v="3"/>
    <s v="Finance"/>
    <x v="1"/>
    <x v="16"/>
  </r>
  <r>
    <x v="206"/>
    <s v="Third Line of Credit to Agribank"/>
    <n v="8108649.54"/>
    <x v="29"/>
    <d v="2004-09-29T00:00:00"/>
    <x v="2"/>
    <x v="3"/>
    <s v="Finance"/>
    <x v="0"/>
    <x v="16"/>
  </r>
  <r>
    <x v="207"/>
    <s v="Multinational - PTA Bank First Line of Credit and Technical Assistance Support"/>
    <n v="21347994"/>
    <x v="1"/>
    <d v="2003-12-17T00:00:00"/>
    <x v="2"/>
    <x v="3"/>
    <s v="Finance"/>
    <x v="0"/>
    <x v="17"/>
  </r>
  <r>
    <x v="208"/>
    <s v="East African Development Bank (Eadb) Line of Credit &amp; Technical Assistance"/>
    <n v="28352429.899999999"/>
    <x v="1"/>
    <d v="2003-12-17T00:00:00"/>
    <x v="0"/>
    <x v="3"/>
    <s v="Finance"/>
    <x v="0"/>
    <x v="17"/>
  </r>
  <r>
    <x v="209"/>
    <s v="Tunisia - Line of Credit to Tunisie Leasing (TL)"/>
    <n v="7042625.4900000002"/>
    <x v="13"/>
    <d v="2003-07-23T00:00:00"/>
    <x v="2"/>
    <x v="3"/>
    <s v="Finance"/>
    <x v="1"/>
    <x v="17"/>
  </r>
  <r>
    <x v="210"/>
    <s v="Tunisia - Second Line of Credit to “Banque de l’Habitat”"/>
    <n v="66511473.229999997"/>
    <x v="13"/>
    <d v="2003-07-21T00:00:00"/>
    <x v="1"/>
    <x v="3"/>
    <s v="Finance"/>
    <x v="0"/>
    <x v="17"/>
  </r>
  <r>
    <x v="211"/>
    <s v="South Africa - Third Line of Credit to the Development Bank of Southern Africa Limited (DBSA)"/>
    <n v="71357723.400000006"/>
    <x v="20"/>
    <d v="2003-07-16T00:00:00"/>
    <x v="2"/>
    <x v="3"/>
    <s v="Finance"/>
    <x v="0"/>
    <x v="17"/>
  </r>
  <r>
    <x v="212"/>
    <s v="Togo - Line of Credit to Ecobank Transnational Incorporated (ETI)"/>
    <n v="6518564.8700000001"/>
    <x v="25"/>
    <d v="2003-04-02T00:00:00"/>
    <x v="2"/>
    <x v="3"/>
    <s v="Finance"/>
    <x v="1"/>
    <x v="17"/>
  </r>
  <r>
    <x v="213"/>
    <s v="Tunisia - Fourth Line of Credit to Investment Bank of Tunisia and the Emirates (BTEI)"/>
    <n v="31575212.489999998"/>
    <x v="13"/>
    <d v="2002-12-20T00:00:00"/>
    <x v="2"/>
    <x v="3"/>
    <s v="Finance"/>
    <x v="0"/>
    <x v="18"/>
  </r>
  <r>
    <x v="214"/>
    <s v="Fourth Financial Sector Support Programme (PASFI IV)"/>
    <n v="109219734.22"/>
    <x v="8"/>
    <d v="2002-12-12T00:00:00"/>
    <x v="2"/>
    <x v="3"/>
    <s v="Finance"/>
    <x v="0"/>
    <x v="18"/>
  </r>
  <r>
    <x v="215"/>
    <s v="Ligne de Crédit à la Générale de Banques de Mauritanie (GBM)"/>
    <n v="6518564.8700000001"/>
    <x v="4"/>
    <d v="2002-12-12T00:00:00"/>
    <x v="2"/>
    <x v="3"/>
    <s v="Finance"/>
    <x v="1"/>
    <x v="18"/>
  </r>
  <r>
    <x v="216"/>
    <s v="Line of Credit to Edbe"/>
    <n v="41718815.189999998"/>
    <x v="5"/>
    <d v="2002-10-23T00:00:00"/>
    <x v="2"/>
    <x v="3"/>
    <s v="Finance"/>
    <x v="0"/>
    <x v="18"/>
  </r>
  <r>
    <x v="217"/>
    <s v="Line of Credit to Nbe"/>
    <n v="103180159.93000001"/>
    <x v="5"/>
    <d v="2002-10-23T00:00:00"/>
    <x v="2"/>
    <x v="3"/>
    <s v="Finance"/>
    <x v="0"/>
    <x v="18"/>
  </r>
  <r>
    <x v="218"/>
    <s v="Multinational - Project to reform system and means of payment in UEMOA countries"/>
    <n v="5431688.4000000004"/>
    <x v="1"/>
    <d v="2002-10-02T00:00:00"/>
    <x v="2"/>
    <x v="0"/>
    <s v="Finance"/>
    <x v="0"/>
    <x v="18"/>
  </r>
  <r>
    <x v="219"/>
    <s v="Line of Credit to Cal Merchant Bank"/>
    <n v="3259282.44"/>
    <x v="28"/>
    <d v="2002-07-10T00:00:00"/>
    <x v="2"/>
    <x v="3"/>
    <s v="Finance"/>
    <x v="1"/>
    <x v="18"/>
  </r>
  <r>
    <x v="220"/>
    <s v="Tunisia - Line of Credit to “Banque de Tunisie”"/>
    <n v="26409845.59"/>
    <x v="13"/>
    <d v="2002-07-10T00:00:00"/>
    <x v="2"/>
    <x v="3"/>
    <s v="Finance"/>
    <x v="1"/>
    <x v="18"/>
  </r>
  <r>
    <x v="221"/>
    <s v="Tunisia - Line of Credit to “Banque de l’Habitat”"/>
    <n v="21221488.989999998"/>
    <x v="13"/>
    <d v="2002-02-27T00:00:00"/>
    <x v="1"/>
    <x v="3"/>
    <s v="Finance"/>
    <x v="0"/>
    <x v="18"/>
  </r>
  <r>
    <x v="222"/>
    <s v="Line of Credit to Support Small and Medium Enterprises"/>
    <n v="3487972.9"/>
    <x v="12"/>
    <d v="2002-01-16T00:00:00"/>
    <x v="2"/>
    <x v="0"/>
    <s v="Finance"/>
    <x v="0"/>
    <x v="18"/>
  </r>
  <r>
    <x v="223"/>
    <s v="Tunisia - Competitiveness Support Programme II (PAC II)"/>
    <n v="151123350.24000001"/>
    <x v="13"/>
    <d v="2001-11-28T00:00:00"/>
    <x v="2"/>
    <x v="3"/>
    <s v="Finance"/>
    <x v="0"/>
    <x v="19"/>
  </r>
  <r>
    <x v="224"/>
    <s v="Egypt - Line of Credit  to the Suez Canal Bank of Egypt"/>
    <n v="45629954.109999999"/>
    <x v="5"/>
    <d v="2001-10-18T00:00:00"/>
    <x v="2"/>
    <x v="3"/>
    <s v="Finance"/>
    <x v="1"/>
    <x v="19"/>
  </r>
  <r>
    <x v="225"/>
    <s v="Line of Credit to Fedelity Bank (Former Fsb)"/>
    <n v="11733416.77"/>
    <x v="15"/>
    <d v="2001-10-18T00:00:00"/>
    <x v="2"/>
    <x v="3"/>
    <s v="Finance"/>
    <x v="1"/>
    <x v="19"/>
  </r>
  <r>
    <x v="226"/>
    <s v="Second Line of Credit to Agribank"/>
    <n v="4865201.4800000004"/>
    <x v="29"/>
    <d v="2001-09-13T00:00:00"/>
    <x v="2"/>
    <x v="3"/>
    <s v="Finance"/>
    <x v="0"/>
    <x v="19"/>
  </r>
  <r>
    <x v="227"/>
    <s v="Nigeria - Line of Credit to United Bank for Africa Plc"/>
    <n v="19555694.620000001"/>
    <x v="15"/>
    <d v="2000-12-20T00:00:00"/>
    <x v="2"/>
    <x v="3"/>
    <s v="Finance"/>
    <x v="1"/>
    <x v="20"/>
  </r>
  <r>
    <x v="228"/>
    <s v="Tunisia - Fourth Line of Credit to Tuniso-Kuwaiti Development Bank (BTKD)"/>
    <n v="17160556.27"/>
    <x v="13"/>
    <d v="2000-12-13T00:00:00"/>
    <x v="2"/>
    <x v="3"/>
    <s v="Finance"/>
    <x v="1"/>
    <x v="20"/>
  </r>
  <r>
    <x v="229"/>
    <s v="Rwanda - Third Line of Credit to the Rwandan Development Bank"/>
    <n v="5994692.3300000001"/>
    <x v="11"/>
    <d v="2000-11-16T00:00:00"/>
    <x v="1"/>
    <x v="0"/>
    <s v="Finance"/>
    <x v="1"/>
    <x v="20"/>
  </r>
  <r>
    <x v="230"/>
    <s v="Ghana - Rural Financial Services Project"/>
    <n v="3470511.96"/>
    <x v="28"/>
    <d v="2000-10-11T00:00:00"/>
    <x v="2"/>
    <x v="0"/>
    <s v="Finance"/>
    <x v="0"/>
    <x v="20"/>
  </r>
  <r>
    <x v="231"/>
    <s v="South Africa - Line of Credit to the Industrial Development Corporation of South Africa Limited (IDC)"/>
    <n v="71642988.659999996"/>
    <x v="20"/>
    <d v="2000-06-28T00:00:00"/>
    <x v="2"/>
    <x v="3"/>
    <s v="Finance"/>
    <x v="1"/>
    <x v="20"/>
  </r>
  <r>
    <x v="232"/>
    <s v="Tunisia - Seventh Line of Credit to the « Banque de Développement économique de la Tunisie (BDET) »"/>
    <n v="63954077.850000001"/>
    <x v="13"/>
    <d v="2000-05-17T00:00:00"/>
    <x v="2"/>
    <x v="3"/>
    <s v="Finance"/>
    <x v="1"/>
    <x v="20"/>
  </r>
  <r>
    <x v="233"/>
    <s v="Namibia - First Line of Credit to Agribank"/>
    <n v="3892161.19"/>
    <x v="29"/>
    <d v="1999-12-13T00:00:00"/>
    <x v="2"/>
    <x v="3"/>
    <s v="Finance"/>
    <x v="0"/>
    <x v="21"/>
  </r>
  <r>
    <x v="234"/>
    <s v="South Africa - Second Line of Credit to the Development Bank of Southern Africa Limited (DBSA)"/>
    <n v="30578234.41"/>
    <x v="20"/>
    <d v="1999-11-10T00:00:00"/>
    <x v="2"/>
    <x v="3"/>
    <s v="Finance"/>
    <x v="1"/>
    <x v="21"/>
  </r>
  <r>
    <x v="235"/>
    <s v="Multinational - Sixth Line of Credit to East African Development Bank (EADB)"/>
    <n v="17422941.280000001"/>
    <x v="1"/>
    <d v="1999-10-06T00:00:00"/>
    <x v="2"/>
    <x v="3"/>
    <s v="Finance"/>
    <x v="1"/>
    <x v="21"/>
  </r>
  <r>
    <x v="236"/>
    <s v="Third Line of Credit to The Dbs"/>
    <n v="731716.46"/>
    <x v="30"/>
    <d v="1999-07-07T00:00:00"/>
    <x v="3"/>
    <x v="3"/>
    <s v="Finance"/>
    <x v="0"/>
    <x v="21"/>
  </r>
  <r>
    <x v="237"/>
    <s v="Tunisia - Competitiveness Support Programme I (PAC I)"/>
    <n v="91804208.390000001"/>
    <x v="13"/>
    <d v="1999-03-17T00:00:00"/>
    <x v="2"/>
    <x v="3"/>
    <s v="Finance"/>
    <x v="0"/>
    <x v="21"/>
  </r>
  <r>
    <x v="238"/>
    <s v="Institutional Saving Developmt Programme"/>
    <n v="129175490.84"/>
    <x v="8"/>
    <d v="1997-11-19T00:00:00"/>
    <x v="2"/>
    <x v="3"/>
    <s v="Finance"/>
    <x v="0"/>
    <x v="22"/>
  </r>
  <r>
    <x v="239"/>
    <s v="Tunisia - Sixth Line of Credit to Banque Nationale de Développement Touristique (BNDT)"/>
    <n v="217561512.28"/>
    <x v="13"/>
    <d v="1997-11-19T00:00:00"/>
    <x v="2"/>
    <x v="3"/>
    <s v="Finance"/>
    <x v="1"/>
    <x v="22"/>
  </r>
  <r>
    <x v="240"/>
    <s v="Programme Gestion Ressources Publiques"/>
    <n v="7386344.9900000002"/>
    <x v="4"/>
    <d v="1996-12-17T00:00:00"/>
    <x v="2"/>
    <x v="0"/>
    <s v="Finance"/>
    <x v="0"/>
    <x v="23"/>
  </r>
  <r>
    <x v="241"/>
    <s v="Malawi - Investment and Development Bank (INDEBANK) First Line of Credit"/>
    <n v="1346291.02"/>
    <x v="37"/>
    <d v="1996-12-12T00:00:00"/>
    <x v="2"/>
    <x v="0"/>
    <s v="Finance"/>
    <x v="0"/>
    <x v="23"/>
  </r>
  <r>
    <x v="242"/>
    <s v="Algeria - Second Line of Credit to Crédit Populaire d'Algérie (CPA)"/>
    <n v="87461145.209999993"/>
    <x v="35"/>
    <d v="1996-12-10T00:00:00"/>
    <x v="2"/>
    <x v="3"/>
    <s v="Finance"/>
    <x v="0"/>
    <x v="23"/>
  </r>
  <r>
    <x v="243"/>
    <s v="Programme d'ajustement du secteur financier (III)"/>
    <n v="150000000"/>
    <x v="8"/>
    <d v="1995-11-22T00:00:00"/>
    <x v="2"/>
    <x v="3"/>
    <s v="Finance"/>
    <x v="0"/>
    <x v="24"/>
  </r>
  <r>
    <x v="244"/>
    <s v="Lesotho - Second Line of Credit to Lesotho National Development Corporation (LNDC)"/>
    <n v="3159504.3"/>
    <x v="38"/>
    <d v="1994-12-15T00:00:00"/>
    <x v="2"/>
    <x v="8"/>
    <s v="Finance"/>
    <x v="0"/>
    <x v="25"/>
  </r>
  <r>
    <x v="245"/>
    <s v="Fifth Lign of credit to East African Development  Bank"/>
    <n v="15032246.439999999"/>
    <x v="1"/>
    <d v="1994-08-25T00:00:00"/>
    <x v="2"/>
    <x v="3"/>
    <s v="Finance"/>
    <x v="1"/>
    <x v="25"/>
  </r>
  <r>
    <x v="246"/>
    <s v="3ème ligne de crédit à la  Banque tuniso-koweïtienne (BTK)"/>
    <n v="11561466.630000001"/>
    <x v="13"/>
    <d v="1994-04-27T00:00:00"/>
    <x v="2"/>
    <x v="3"/>
    <s v="Finance"/>
    <x v="0"/>
    <x v="25"/>
  </r>
  <r>
    <x v="247"/>
    <s v="3ème Ligne de Crédit à la Société Tuniso-Saoudienne d'Investissement et de Développement (STUSID)"/>
    <n v="12010952.689999999"/>
    <x v="13"/>
    <d v="1994-04-27T00:00:00"/>
    <x v="2"/>
    <x v="3"/>
    <s v="Finance"/>
    <x v="0"/>
    <x v="25"/>
  </r>
  <r>
    <x v="248"/>
    <s v="3ème Ligne de Crédit à la Banque tuniso-qatarie d'investissement (BTQI)"/>
    <n v="12402757.98"/>
    <x v="13"/>
    <d v="1994-04-27T00:00:00"/>
    <x v="2"/>
    <x v="3"/>
    <s v="Finance"/>
    <x v="0"/>
    <x v="25"/>
  </r>
  <r>
    <x v="249"/>
    <s v="3ème ligne de crédit à la Banque de Tunisie et des Emirats d'investissements (BTEI)"/>
    <n v="6573622.6399999997"/>
    <x v="13"/>
    <d v="1994-04-27T00:00:00"/>
    <x v="2"/>
    <x v="3"/>
    <s v="Finance"/>
    <x v="0"/>
    <x v="25"/>
  </r>
  <r>
    <x v="250"/>
    <s v="Multinational - Line of Credit to Pta Bank"/>
    <n v="14865448.949999999"/>
    <x v="1"/>
    <d v="1994-02-23T00:00:00"/>
    <x v="2"/>
    <x v="3"/>
    <s v="Finance"/>
    <x v="1"/>
    <x v="25"/>
  </r>
  <r>
    <x v="251"/>
    <s v="C. Facility for Small Enterprises Study"/>
    <n v="163552.73000000001"/>
    <x v="12"/>
    <d v="1993-07-10T00:00:00"/>
    <x v="2"/>
    <x v="0"/>
    <s v="Finance"/>
    <x v="0"/>
    <x v="26"/>
  </r>
  <r>
    <x v="252"/>
    <s v="6ème Ligne de Crédit à la Banque de développement économique de Tunisie (BDET)"/>
    <n v="58960353.189999998"/>
    <x v="13"/>
    <d v="1993-06-23T00:00:00"/>
    <x v="2"/>
    <x v="3"/>
    <s v="Finance"/>
    <x v="0"/>
    <x v="26"/>
  </r>
  <r>
    <x v="253"/>
    <s v="Sixth Line of Credit to the BNDE_x000a_"/>
    <n v="43406329.899999999"/>
    <x v="8"/>
    <d v="1993-05-06T00:00:00"/>
    <x v="2"/>
    <x v="3"/>
    <s v="Finance"/>
    <x v="1"/>
    <x v="26"/>
  </r>
  <r>
    <x v="254"/>
    <s v="Financial Sector Adjustment Programme"/>
    <n v="27457415.989999998"/>
    <x v="26"/>
    <d v="1992-05-25T00:00:00"/>
    <x v="2"/>
    <x v="0"/>
    <s v="Finance"/>
    <x v="0"/>
    <x v="27"/>
  </r>
  <r>
    <x v="255"/>
    <s v="Programme d'ajustement du secteur financier (I)"/>
    <n v="75000000"/>
    <x v="8"/>
    <d v="1992-01-27T00:00:00"/>
    <x v="2"/>
    <x v="3"/>
    <s v="Finance"/>
    <x v="0"/>
    <x v="27"/>
  </r>
  <r>
    <x v="256"/>
    <s v="4ème Ligne de Crédit à la Banque nationale de développement touristique (BNDT)"/>
    <n v="119999773.09"/>
    <x v="13"/>
    <d v="1992-01-27T00:00:00"/>
    <x v="2"/>
    <x v="3"/>
    <s v="Finance"/>
    <x v="0"/>
    <x v="27"/>
  </r>
  <r>
    <x v="257"/>
    <s v="Mozambique - Institutional Support Project to Banco Poprrlar de Desenvolvimento (BPD)"/>
    <n v="2148936.0299999998"/>
    <x v="12"/>
    <d v="1991-10-30T00:00:00"/>
    <x v="2"/>
    <x v="0"/>
    <s v="Finance"/>
    <x v="0"/>
    <x v="28"/>
  </r>
  <r>
    <x v="258"/>
    <s v="Ligne de Crédit à la Banque Centrale Populaire (BCP)"/>
    <n v="30000000"/>
    <x v="8"/>
    <d v="1991-10-29T00:00:00"/>
    <x v="2"/>
    <x v="3"/>
    <s v="Finance"/>
    <x v="0"/>
    <x v="28"/>
  </r>
  <r>
    <x v="259"/>
    <s v="Ligne de Crédit à la Banque Commerciale du Maroc (BCM)"/>
    <n v="13352594.92"/>
    <x v="8"/>
    <d v="1991-10-29T00:00:00"/>
    <x v="2"/>
    <x v="3"/>
    <s v="Finance"/>
    <x v="0"/>
    <x v="28"/>
  </r>
  <r>
    <x v="260"/>
    <s v="Ligne de Crédit au Crédit Immobilier et hôtelier (CIH)"/>
    <n v="5026499.32"/>
    <x v="8"/>
    <d v="1991-10-29T00:00:00"/>
    <x v="2"/>
    <x v="3"/>
    <s v="Finance"/>
    <x v="0"/>
    <x v="28"/>
  </r>
  <r>
    <x v="261"/>
    <s v="Ligne de Crédit à la Banque Centrale Populaire (BCP); à la Banque marocaine du commerce extérieur (BMCE); et à la Banque commerciale du maroc (BCM)"/>
    <n v="7871217.8300000001"/>
    <x v="8"/>
    <d v="1991-10-29T00:00:00"/>
    <x v="2"/>
    <x v="3"/>
    <s v="Finance"/>
    <x v="0"/>
    <x v="28"/>
  </r>
  <r>
    <x v="262"/>
    <s v="Line of Credit II to D.B.S"/>
    <n v="3999846.18"/>
    <x v="30"/>
    <d v="1991-10-29T00:00:00"/>
    <x v="2"/>
    <x v="3"/>
    <s v="Finance"/>
    <x v="1"/>
    <x v="28"/>
  </r>
  <r>
    <x v="263"/>
    <s v="Projet de réhabilitation des entreprises publiques"/>
    <n v="13815780"/>
    <x v="4"/>
    <d v="1991-08-28T00:00:00"/>
    <x v="2"/>
    <x v="0"/>
    <s v="Finance"/>
    <x v="0"/>
    <x v="28"/>
  </r>
  <r>
    <x v="264"/>
    <s v="2ème Ligne de Crédit à la Banque de Tunisie et des Emirats d'Investissements (BTEI)"/>
    <n v="24902158.079999998"/>
    <x v="13"/>
    <d v="1991-06-17T00:00:00"/>
    <x v="2"/>
    <x v="3"/>
    <s v="Finance"/>
    <x v="0"/>
    <x v="28"/>
  </r>
  <r>
    <x v="265"/>
    <s v="2ème Ligne de Crédit à la Société Tuniso-Saoudienne d'Investissement et de Développement (STUSID)"/>
    <n v="19845430.59"/>
    <x v="13"/>
    <d v="1991-06-17T00:00:00"/>
    <x v="2"/>
    <x v="3"/>
    <s v="Finance"/>
    <x v="0"/>
    <x v="28"/>
  </r>
  <r>
    <x v="266"/>
    <s v="2ème ligne de crédit à la Banque tuniso-qatarie d'investissement"/>
    <n v="20006119.690000001"/>
    <x v="13"/>
    <d v="1991-06-17T00:00:00"/>
    <x v="2"/>
    <x v="3"/>
    <s v="Finance"/>
    <x v="0"/>
    <x v="28"/>
  </r>
  <r>
    <x v="267"/>
    <s v="2ème ligne de crédit à la  Banque tuniso-koweïtienne (BTK)"/>
    <n v="34997325.880000003"/>
    <x v="13"/>
    <d v="1991-06-17T00:00:00"/>
    <x v="2"/>
    <x v="3"/>
    <s v="Finance"/>
    <x v="0"/>
    <x v="28"/>
  </r>
  <r>
    <x v="268"/>
    <s v="Institutional Support to the industrial Bank of Sudan"/>
    <n v="610041.34"/>
    <x v="39"/>
    <d v="1991-01-29T00:00:00"/>
    <x v="2"/>
    <x v="0"/>
    <s v="Finance"/>
    <x v="0"/>
    <x v="28"/>
  </r>
  <r>
    <x v="269"/>
    <s v="Small &amp; Medium Scale Entreprises Development (LOC to Uganda Development Bank)"/>
    <n v="16155010.029999999"/>
    <x v="17"/>
    <d v="1990-11-21T00:00:00"/>
    <x v="2"/>
    <x v="3"/>
    <s v="Finance"/>
    <x v="1"/>
    <x v="29"/>
  </r>
  <r>
    <x v="270"/>
    <s v="5ème Ligne de Crédit à la Banque de développement économique de Tunisie (BDET)"/>
    <n v="30000000"/>
    <x v="13"/>
    <d v="1990-08-29T00:00:00"/>
    <x v="2"/>
    <x v="3"/>
    <s v="Finance"/>
    <x v="0"/>
    <x v="29"/>
  </r>
  <r>
    <x v="271"/>
    <s v="3ème Ligne de Crédit à la Banque nationale de développement touristique (BNDT)"/>
    <n v="60000000"/>
    <x v="13"/>
    <d v="1990-06-11T00:00:00"/>
    <x v="2"/>
    <x v="3"/>
    <s v="Finance"/>
    <x v="0"/>
    <x v="29"/>
  </r>
  <r>
    <x v="272"/>
    <s v="Institutional Support to Zdb"/>
    <n v="8142172.4800000004"/>
    <x v="27"/>
    <d v="1990-02-15T00:00:00"/>
    <x v="2"/>
    <x v="3"/>
    <s v="Finance"/>
    <x v="0"/>
    <x v="29"/>
  </r>
  <r>
    <x v="273"/>
    <s v="Projet d'assistance technique à la Banque de développement du Mali (BDM)"/>
    <n v="964341.44"/>
    <x v="6"/>
    <d v="1989-11-21T00:00:00"/>
    <x v="2"/>
    <x v="0"/>
    <s v="Finance"/>
    <x v="0"/>
    <x v="30"/>
  </r>
  <r>
    <x v="274"/>
    <s v="Angola - Institutional Support to the B.N.A. - Grant"/>
    <n v="778529.51"/>
    <x v="3"/>
    <d v="1989-10-17T00:00:00"/>
    <x v="2"/>
    <x v="0"/>
    <s v="Finance"/>
    <x v="0"/>
    <x v="30"/>
  </r>
  <r>
    <x v="275"/>
    <s v="Ligne de crédit à la Banque Rwandaise de Développement"/>
    <n v="5628545.8700000001"/>
    <x v="11"/>
    <d v="1989-06-12T00:00:00"/>
    <x v="2"/>
    <x v="3"/>
    <s v="Finance"/>
    <x v="0"/>
    <x v="30"/>
  </r>
  <r>
    <x v="276"/>
    <s v="Nidb Line of Credit"/>
    <n v="69644669.079999998"/>
    <x v="15"/>
    <d v="1989-03-23T00:00:00"/>
    <x v="2"/>
    <x v="3"/>
    <s v="Finance"/>
    <x v="1"/>
    <x v="30"/>
  </r>
  <r>
    <x v="277"/>
    <s v="Appui Institutionnel à la Banque de développement du Tchad (BDT)"/>
    <n v="1590045.94"/>
    <x v="40"/>
    <d v="1989-02-23T00:00:00"/>
    <x v="2"/>
    <x v="0"/>
    <s v="Finance"/>
    <x v="0"/>
    <x v="30"/>
  </r>
  <r>
    <x v="278"/>
    <s v="B.P.D Institutional Support (Grant)"/>
    <n v="135381.15"/>
    <x v="12"/>
    <d v="1988-09-20T00:00:00"/>
    <x v="2"/>
    <x v="0"/>
    <s v="Finance"/>
    <x v="0"/>
    <x v="31"/>
  </r>
  <r>
    <x v="279"/>
    <s v="Algeria - Line of credit in the industry sector"/>
    <n v="39422205.420000002"/>
    <x v="35"/>
    <d v="1988-08-23T00:00:00"/>
    <x v="2"/>
    <x v="3"/>
    <s v="Finance"/>
    <x v="0"/>
    <x v="31"/>
  </r>
  <r>
    <x v="280"/>
    <s v="Programme d'ajustement Structurel"/>
    <n v="13815780"/>
    <x v="4"/>
    <d v="1988-05-27T00:00:00"/>
    <x v="2"/>
    <x v="0"/>
    <s v="Finance"/>
    <x v="0"/>
    <x v="31"/>
  </r>
  <r>
    <x v="281"/>
    <s v="1ère ligne de crédit à la Banque de Tunisie et des Emirats d'investissements (BTEI)"/>
    <n v="8000000"/>
    <x v="13"/>
    <d v="1988-03-21T00:00:00"/>
    <x v="2"/>
    <x v="3"/>
    <s v="Finance"/>
    <x v="0"/>
    <x v="31"/>
  </r>
  <r>
    <x v="282"/>
    <s v="1ère ligne de crédit à la  Banque tuniso-koweïtienne (BTK)"/>
    <n v="15000000"/>
    <x v="13"/>
    <d v="1988-03-21T00:00:00"/>
    <x v="2"/>
    <x v="3"/>
    <s v="Finance"/>
    <x v="0"/>
    <x v="31"/>
  </r>
  <r>
    <x v="283"/>
    <s v="Ligne de Crédit à la Banque tuniso-qatarie d'investissement (BTQI)"/>
    <n v="7000000"/>
    <x v="13"/>
    <d v="1988-03-21T00:00:00"/>
    <x v="2"/>
    <x v="3"/>
    <s v="Finance"/>
    <x v="0"/>
    <x v="31"/>
  </r>
  <r>
    <x v="284"/>
    <s v="2ème Ligne de Crédit à la Banque nationale de développement touristique (BNDT)"/>
    <n v="20000000"/>
    <x v="13"/>
    <d v="1988-03-21T00:00:00"/>
    <x v="2"/>
    <x v="3"/>
    <s v="Finance"/>
    <x v="0"/>
    <x v="31"/>
  </r>
  <r>
    <x v="285"/>
    <s v="Ligne de Crédit à la Société Tuniso-Saoudienne d'Investissement et de Développement (STUSID)"/>
    <n v="9997882.9399999995"/>
    <x v="13"/>
    <d v="1988-03-21T00:00:00"/>
    <x v="2"/>
    <x v="3"/>
    <s v="Finance"/>
    <x v="0"/>
    <x v="31"/>
  </r>
  <r>
    <x v="286"/>
    <s v="Ligne de Crédit au Fonds CEDEAO"/>
    <n v="10850508.49"/>
    <x v="1"/>
    <d v="1988-02-24T00:00:00"/>
    <x v="2"/>
    <x v="3"/>
    <s v="Finance"/>
    <x v="0"/>
    <x v="31"/>
  </r>
  <r>
    <x v="287"/>
    <s v="Line of Credit III"/>
    <n v="3934863.68"/>
    <x v="2"/>
    <d v="1988-02-23T00:00:00"/>
    <x v="2"/>
    <x v="3"/>
    <s v="Finance"/>
    <x v="1"/>
    <x v="31"/>
  </r>
  <r>
    <x v="288"/>
    <s v="Ligne de Crédit Agricole"/>
    <n v="3987671.82"/>
    <x v="41"/>
    <d v="1987-12-15T00:00:00"/>
    <x v="2"/>
    <x v="0"/>
    <s v="Finance"/>
    <x v="0"/>
    <x v="32"/>
  </r>
  <r>
    <x v="289"/>
    <s v="Agricultural Line of Credit to Ucb (P)"/>
    <n v="12021505.18"/>
    <x v="17"/>
    <d v="1987-11-25T00:00:00"/>
    <x v="2"/>
    <x v="0"/>
    <s v="Finance"/>
    <x v="1"/>
    <x v="32"/>
  </r>
  <r>
    <x v="290"/>
    <s v="Ligne de Crédit Agricole"/>
    <n v="639105.85"/>
    <x v="42"/>
    <d v="1987-10-27T00:00:00"/>
    <x v="2"/>
    <x v="0"/>
    <s v="Finance"/>
    <x v="0"/>
    <x v="32"/>
  </r>
  <r>
    <x v="291"/>
    <s v="Ligne de Crédit I"/>
    <n v="2827916.8"/>
    <x v="43"/>
    <d v="1987-08-18T00:00:00"/>
    <x v="2"/>
    <x v="0"/>
    <s v="Finance"/>
    <x v="0"/>
    <x v="32"/>
  </r>
  <r>
    <x v="292"/>
    <s v="Programme d'ajustement  dans le Secteur Industriel"/>
    <n v="80000000"/>
    <x v="13"/>
    <d v="1987-08-18T00:00:00"/>
    <x v="2"/>
    <x v="3"/>
    <s v="Finance"/>
    <x v="0"/>
    <x v="32"/>
  </r>
  <r>
    <x v="293"/>
    <s v="Lign of credit to Kenya Industrial Estates (K.I.E)"/>
    <n v="4523529.09"/>
    <x v="7"/>
    <d v="1986-12-22T00:00:00"/>
    <x v="2"/>
    <x v="0"/>
    <s v="Finance"/>
    <x v="1"/>
    <x v="33"/>
  </r>
  <r>
    <x v="294"/>
    <s v="Line of Credit to Ibs"/>
    <n v="10031279.07"/>
    <x v="39"/>
    <d v="1986-10-28T00:00:00"/>
    <x v="2"/>
    <x v="0"/>
    <s v="Finance"/>
    <x v="1"/>
    <x v="33"/>
  </r>
  <r>
    <x v="295"/>
    <s v="Fifth Line of Credit to the &quot;Banque Nationale pour le Développement Economique&quot;"/>
    <n v="49996958.100000001"/>
    <x v="8"/>
    <d v="1986-09-24T00:00:00"/>
    <x v="2"/>
    <x v="3"/>
    <s v="Finance"/>
    <x v="1"/>
    <x v="33"/>
  </r>
  <r>
    <x v="296"/>
    <s v="Rural C. &amp; Banking Facilities (ADF)"/>
    <n v="4221054.5199999996"/>
    <x v="38"/>
    <d v="1986-09-23T00:00:00"/>
    <x v="2"/>
    <x v="0"/>
    <s v="Finance"/>
    <x v="0"/>
    <x v="33"/>
  </r>
  <r>
    <x v="297"/>
    <s v="Line of Credit"/>
    <n v="2972992.69"/>
    <x v="30"/>
    <d v="1986-06-17T00:00:00"/>
    <x v="2"/>
    <x v="8"/>
    <s v="Finance"/>
    <x v="1"/>
    <x v="33"/>
  </r>
  <r>
    <x v="298"/>
    <s v="Ligne de Crédit à l'Union des Banques de développement (UBD)"/>
    <n v="3474461.09"/>
    <x v="4"/>
    <d v="1986-03-18T00:00:00"/>
    <x v="2"/>
    <x v="0"/>
    <s v="Finance"/>
    <x v="0"/>
    <x v="33"/>
  </r>
  <r>
    <x v="299"/>
    <s v="Ligne de crédit à la Banque de développement du Mali (BDM)"/>
    <n v="4512463.84"/>
    <x v="6"/>
    <d v="1986-01-15T00:00:00"/>
    <x v="2"/>
    <x v="8"/>
    <s v="Finance"/>
    <x v="0"/>
    <x v="33"/>
  </r>
  <r>
    <x v="300"/>
    <s v="Agricultural Line of Credit"/>
    <n v="10992528.85"/>
    <x v="44"/>
    <d v="1985-09-26T00:00:00"/>
    <x v="3"/>
    <x v="0"/>
    <s v="Finance"/>
    <x v="0"/>
    <x v="34"/>
  </r>
  <r>
    <x v="301"/>
    <s v="Line of Credit IV to Eadb"/>
    <n v="18064058.190000001"/>
    <x v="1"/>
    <d v="1985-09-26T00:00:00"/>
    <x v="2"/>
    <x v="3"/>
    <s v="Finance"/>
    <x v="1"/>
    <x v="34"/>
  </r>
  <r>
    <x v="302"/>
    <s v="Ligne de crédit à la Banque Rwandaise de Développement"/>
    <n v="4590621.5"/>
    <x v="11"/>
    <d v="1985-08-28T00:00:00"/>
    <x v="2"/>
    <x v="0"/>
    <s v="Finance"/>
    <x v="0"/>
    <x v="34"/>
  </r>
  <r>
    <x v="303"/>
    <s v="Deuxième Ligne de Crédit Agricole"/>
    <n v="12904697.85"/>
    <x v="41"/>
    <d v="1985-02-13T00:00:00"/>
    <x v="2"/>
    <x v="0"/>
    <s v="Finance"/>
    <x v="0"/>
    <x v="34"/>
  </r>
  <r>
    <x v="304"/>
    <s v="Dib Fourth Line of Credit"/>
    <n v="40800461.649999999"/>
    <x v="5"/>
    <d v="1984-12-12T00:00:00"/>
    <x v="2"/>
    <x v="3"/>
    <s v="Finance"/>
    <x v="1"/>
    <x v="35"/>
  </r>
  <r>
    <x v="305"/>
    <s v="1ère Ligne de crédit à la Banque Nationale  Développement "/>
    <n v="30000005.760000002"/>
    <x v="13"/>
    <d v="1984-12-12T00:00:00"/>
    <x v="2"/>
    <x v="3"/>
    <s v="Finance"/>
    <x v="0"/>
    <x v="35"/>
  </r>
  <r>
    <x v="306"/>
    <s v="3ème Ligne de Crédit à la Banque de développement économique de Tunisie (BDET)"/>
    <n v="20000000"/>
    <x v="13"/>
    <d v="1984-12-12T00:00:00"/>
    <x v="2"/>
    <x v="3"/>
    <s v="Finance"/>
    <x v="0"/>
    <x v="35"/>
  </r>
  <r>
    <x v="307"/>
    <s v="Third Line of Credit to Idb (ADB)"/>
    <n v="19465441.539999999"/>
    <x v="7"/>
    <d v="1984-08-22T00:00:00"/>
    <x v="2"/>
    <x v="3"/>
    <s v="Finance"/>
    <x v="1"/>
    <x v="35"/>
  </r>
  <r>
    <x v="308"/>
    <s v="Line of Credit II"/>
    <n v="19974035.59"/>
    <x v="17"/>
    <d v="1983-11-22T00:00:00"/>
    <x v="2"/>
    <x v="3"/>
    <s v="Finance"/>
    <x v="0"/>
    <x v="36"/>
  </r>
  <r>
    <x v="309"/>
    <s v="Lign of credit to the Somalia Development Bank"/>
    <n v="4864872.43"/>
    <x v="44"/>
    <d v="1983-02-22T00:00:00"/>
    <x v="2"/>
    <x v="3"/>
    <s v="Finance"/>
    <x v="0"/>
    <x v="36"/>
  </r>
  <r>
    <x v="310"/>
    <s v="Ndb Line of Credit I"/>
    <n v="1158536.73"/>
    <x v="14"/>
    <d v="1982-12-21T00:00:00"/>
    <x v="2"/>
    <x v="3"/>
    <s v="Finance"/>
    <x v="0"/>
    <x v="37"/>
  </r>
  <r>
    <x v="311"/>
    <s v="Line of Credit II"/>
    <n v="2958926.98"/>
    <x v="2"/>
    <d v="1982-05-25T00:00:00"/>
    <x v="2"/>
    <x v="3"/>
    <s v="Finance"/>
    <x v="0"/>
    <x v="37"/>
  </r>
  <r>
    <x v="312"/>
    <s v="3ème Ligne de Crédit à la Banque de développement économique de Tunisie (BDET)"/>
    <n v="10000000"/>
    <x v="13"/>
    <d v="1982-03-16T00:00:00"/>
    <x v="2"/>
    <x v="3"/>
    <s v="Finance"/>
    <x v="0"/>
    <x v="37"/>
  </r>
  <r>
    <x v="313"/>
    <s v="Line of Credit III to Eadb"/>
    <n v="9817538.1400000006"/>
    <x v="1"/>
    <d v="1982-03-16T00:00:00"/>
    <x v="2"/>
    <x v="3"/>
    <s v="Finance"/>
    <x v="0"/>
    <x v="37"/>
  </r>
  <r>
    <x v="314"/>
    <s v="Ligne de Credit"/>
    <n v="2788661.15"/>
    <x v="41"/>
    <d v="1981-12-29T00:00:00"/>
    <x v="2"/>
    <x v="0"/>
    <s v="Finance"/>
    <x v="0"/>
    <x v="38"/>
  </r>
  <r>
    <x v="315"/>
    <s v="Line of Credit III to Dib (ADB)"/>
    <n v="10001799.18"/>
    <x v="5"/>
    <d v="1981-11-24T00:00:00"/>
    <x v="2"/>
    <x v="3"/>
    <s v="Finance"/>
    <x v="0"/>
    <x v="38"/>
  </r>
  <r>
    <x v="316"/>
    <s v="Ligne de Crédit (IV) à la Banque Nationale pour le Développement économique"/>
    <n v="9595341.3900000006"/>
    <x v="8"/>
    <d v="1981-11-24T00:00:00"/>
    <x v="2"/>
    <x v="3"/>
    <s v="Finance"/>
    <x v="0"/>
    <x v="38"/>
  </r>
  <r>
    <x v="317"/>
    <s v="L O C. to Agr. Bank O Soudan(ADF)"/>
    <n v="7288295.9500000002"/>
    <x v="39"/>
    <d v="1981-10-30T00:00:00"/>
    <x v="2"/>
    <x v="0"/>
    <s v="Finance"/>
    <x v="0"/>
    <x v="38"/>
  </r>
  <r>
    <x v="318"/>
    <s v="Ligne de Crédit (II)"/>
    <n v="9823662.6199999992"/>
    <x v="41"/>
    <d v="1981-08-24T00:00:00"/>
    <x v="2"/>
    <x v="3"/>
    <s v="Finance"/>
    <x v="0"/>
    <x v="38"/>
  </r>
  <r>
    <x v="319"/>
    <s v="Ligne de Crédit II"/>
    <n v="9877125.9000000004"/>
    <x v="5"/>
    <d v="1980-04-25T00:00:00"/>
    <x v="2"/>
    <x v="3"/>
    <s v="Finance"/>
    <x v="0"/>
    <x v="39"/>
  </r>
  <r>
    <x v="320"/>
    <s v="2ème Ligne de Crédit à la Banque de développement économique de Tunisie (BDET)"/>
    <n v="10000000"/>
    <x v="13"/>
    <d v="1980-04-25T00:00:00"/>
    <x v="2"/>
    <x v="3"/>
    <s v="Finance"/>
    <x v="0"/>
    <x v="39"/>
  </r>
  <r>
    <x v="321"/>
    <s v="Line of Credit I (P)"/>
    <n v="9724913.1199999992"/>
    <x v="17"/>
    <d v="1980-03-26T00:00:00"/>
    <x v="2"/>
    <x v="3"/>
    <s v="Finance"/>
    <x v="0"/>
    <x v="39"/>
  </r>
  <r>
    <x v="322"/>
    <s v="Line of Credit"/>
    <n v="2101349.48"/>
    <x v="38"/>
    <d v="1979-11-27T00:00:00"/>
    <x v="2"/>
    <x v="8"/>
    <s v="Finance"/>
    <x v="0"/>
    <x v="40"/>
  </r>
  <r>
    <x v="323"/>
    <s v="Ligne de Crédit à la Banque Nationale de Développement du Congo (BNDC)"/>
    <n v="3499965.2"/>
    <x v="45"/>
    <d v="1979-03-21T00:00:00"/>
    <x v="2"/>
    <x v="3"/>
    <s v="Finance"/>
    <x v="0"/>
    <x v="40"/>
  </r>
  <r>
    <x v="324"/>
    <s v="Line of Credit II"/>
    <n v="4990309.8600000003"/>
    <x v="7"/>
    <d v="1979-03-21T00:00:00"/>
    <x v="2"/>
    <x v="3"/>
    <s v="Finance"/>
    <x v="0"/>
    <x v="40"/>
  </r>
  <r>
    <x v="325"/>
    <s v="Ligne de Crédit à la Banque Camerounaise de Développement (BCD)"/>
    <n v="1801413.74"/>
    <x v="36"/>
    <d v="1979-01-23T00:00:00"/>
    <x v="3"/>
    <x v="3"/>
    <s v="Finance"/>
    <x v="0"/>
    <x v="40"/>
  </r>
  <r>
    <x v="326"/>
    <s v="Bnde III (Ligne de Credit)"/>
    <n v="5000000"/>
    <x v="8"/>
    <d v="1978-11-21T00:00:00"/>
    <x v="2"/>
    <x v="3"/>
    <s v="Finance"/>
    <x v="0"/>
    <x v="41"/>
  </r>
  <r>
    <x v="327"/>
    <s v="Line of Credit to Ndb II"/>
    <n v="2015284.85"/>
    <x v="21"/>
    <d v="1977-12-31T00:00:00"/>
    <x v="2"/>
    <x v="3"/>
    <s v="Finance"/>
    <x v="0"/>
    <x v="42"/>
  </r>
  <r>
    <x v="328"/>
    <s v="Ligne de Crédit I"/>
    <n v="1996165.41"/>
    <x v="34"/>
    <d v="1977-09-19T00:00:00"/>
    <x v="2"/>
    <x v="3"/>
    <s v="Finance"/>
    <x v="0"/>
    <x v="42"/>
  </r>
  <r>
    <x v="329"/>
    <s v="Lign of credit to the  Industrial Development Bank of Egypt"/>
    <n v="4994609.24"/>
    <x v="5"/>
    <d v="1977-08-18T00:00:00"/>
    <x v="2"/>
    <x v="3"/>
    <s v="Finance"/>
    <x v="0"/>
    <x v="42"/>
  </r>
  <r>
    <x v="330"/>
    <s v="Deuxième Ligne de Crédit à Banque Nationale pour le Développement économique"/>
    <n v="2851738.4"/>
    <x v="8"/>
    <d v="1976-07-16T00:00:00"/>
    <x v="2"/>
    <x v="3"/>
    <s v="Finance"/>
    <x v="0"/>
    <x v="43"/>
  </r>
  <r>
    <x v="331"/>
    <s v="1ere Ligne de Crédit à la Banque de développement économique de Tunisie (BDET)"/>
    <n v="3000000"/>
    <x v="13"/>
    <d v="1976-07-16T00:00:00"/>
    <x v="2"/>
    <x v="3"/>
    <s v="Finance"/>
    <x v="0"/>
    <x v="43"/>
  </r>
  <r>
    <x v="332"/>
    <s v="Line of Credit to Ndb I"/>
    <n v="1000000"/>
    <x v="21"/>
    <d v="1974-11-22T00:00:00"/>
    <x v="2"/>
    <x v="3"/>
    <s v="Finance"/>
    <x v="0"/>
    <x v="44"/>
  </r>
  <r>
    <x v="333"/>
    <s v="Ligne de Crédit"/>
    <n v="3975264.91"/>
    <x v="46"/>
    <d v="1974-11-21T00:00:00"/>
    <x v="2"/>
    <x v="3"/>
    <s v="Finance"/>
    <x v="0"/>
    <x v="44"/>
  </r>
  <r>
    <x v="334"/>
    <s v="1ère Ligne de Crédit à la Banque Nationale pour le Développement économique"/>
    <n v="3912222.92"/>
    <x v="8"/>
    <d v="1974-05-08T00:00:00"/>
    <x v="2"/>
    <x v="3"/>
    <s v="Finance"/>
    <x v="0"/>
    <x v="44"/>
  </r>
  <r>
    <x v="335"/>
    <s v="Malawi Development Corporation"/>
    <n v="1485997.2"/>
    <x v="37"/>
    <d v="1972-11-22T00:00:00"/>
    <x v="2"/>
    <x v="3"/>
    <s v="Finance"/>
    <x v="0"/>
    <x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F12C2D-A8FB-49D9-949C-F368DE3C25B2}"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5" firstHeaderRow="1" firstDataRow="1" firstDataCol="1"/>
  <pivotFields count="10">
    <pivotField showAll="0"/>
    <pivotField showAll="0"/>
    <pivotField dataField="1" numFmtId="4" showAll="0"/>
    <pivotField axis="axisRow" showAll="0">
      <items count="48">
        <item x="35"/>
        <item x="3"/>
        <item x="14"/>
        <item x="16"/>
        <item x="46"/>
        <item x="36"/>
        <item x="42"/>
        <item x="40"/>
        <item x="45"/>
        <item x="18"/>
        <item x="33"/>
        <item x="43"/>
        <item x="5"/>
        <item x="22"/>
        <item x="31"/>
        <item x="41"/>
        <item x="28"/>
        <item x="9"/>
        <item x="7"/>
        <item x="38"/>
        <item x="32"/>
        <item x="0"/>
        <item x="37"/>
        <item x="6"/>
        <item x="4"/>
        <item x="2"/>
        <item x="8"/>
        <item x="12"/>
        <item x="1"/>
        <item x="29"/>
        <item x="34"/>
        <item x="15"/>
        <item x="11"/>
        <item x="24"/>
        <item x="10"/>
        <item x="30"/>
        <item x="21"/>
        <item x="44"/>
        <item x="20"/>
        <item x="23"/>
        <item x="39"/>
        <item x="26"/>
        <item x="25"/>
        <item x="13"/>
        <item x="17"/>
        <item x="19"/>
        <item x="27"/>
        <item t="default"/>
      </items>
    </pivotField>
    <pivotField numFmtId="15" showAll="0"/>
    <pivotField showAll="0"/>
    <pivotField showAll="0">
      <items count="10">
        <item x="3"/>
        <item h="1" x="0"/>
        <item x="1"/>
        <item x="4"/>
        <item h="1" x="6"/>
        <item h="1" x="2"/>
        <item h="1" x="5"/>
        <item h="1" x="7"/>
        <item h="1" x="8"/>
        <item t="default"/>
      </items>
    </pivotField>
    <pivotField showAll="0"/>
    <pivotField showAll="0"/>
    <pivotField showAll="0"/>
  </pivotFields>
  <rowFields count="1">
    <field x="3"/>
  </rowFields>
  <rowItems count="42">
    <i>
      <x/>
    </i>
    <i>
      <x v="1"/>
    </i>
    <i>
      <x v="2"/>
    </i>
    <i>
      <x v="3"/>
    </i>
    <i>
      <x v="4"/>
    </i>
    <i>
      <x v="5"/>
    </i>
    <i>
      <x v="8"/>
    </i>
    <i>
      <x v="9"/>
    </i>
    <i>
      <x v="10"/>
    </i>
    <i>
      <x v="12"/>
    </i>
    <i>
      <x v="13"/>
    </i>
    <i>
      <x v="14"/>
    </i>
    <i>
      <x v="15"/>
    </i>
    <i>
      <x v="16"/>
    </i>
    <i>
      <x v="17"/>
    </i>
    <i>
      <x v="18"/>
    </i>
    <i>
      <x v="20"/>
    </i>
    <i>
      <x v="21"/>
    </i>
    <i>
      <x v="22"/>
    </i>
    <i>
      <x v="23"/>
    </i>
    <i>
      <x v="24"/>
    </i>
    <i>
      <x v="25"/>
    </i>
    <i>
      <x v="26"/>
    </i>
    <i>
      <x v="27"/>
    </i>
    <i>
      <x v="28"/>
    </i>
    <i>
      <x v="29"/>
    </i>
    <i>
      <x v="30"/>
    </i>
    <i>
      <x v="31"/>
    </i>
    <i>
      <x v="32"/>
    </i>
    <i>
      <x v="34"/>
    </i>
    <i>
      <x v="35"/>
    </i>
    <i>
      <x v="36"/>
    </i>
    <i>
      <x v="37"/>
    </i>
    <i>
      <x v="38"/>
    </i>
    <i>
      <x v="39"/>
    </i>
    <i>
      <x v="41"/>
    </i>
    <i>
      <x v="42"/>
    </i>
    <i>
      <x v="43"/>
    </i>
    <i>
      <x v="44"/>
    </i>
    <i>
      <x v="45"/>
    </i>
    <i>
      <x v="46"/>
    </i>
    <i t="grand">
      <x/>
    </i>
  </rowItems>
  <colItems count="1">
    <i/>
  </colItems>
  <dataFields count="1">
    <dataField name="Sum of Commitment in U.A" fld="2" baseField="0" baseItem="0" numFmtId="4"/>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E665C5-30CE-4BD7-984A-AFAFDED42110}"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6" firstHeaderRow="1" firstDataRow="1" firstDataCol="1"/>
  <pivotFields count="10">
    <pivotField showAll="0"/>
    <pivotField showAll="0"/>
    <pivotField numFmtId="4" showAll="0"/>
    <pivotField dataField="1" showAll="0">
      <items count="48">
        <item x="35"/>
        <item x="3"/>
        <item x="14"/>
        <item x="16"/>
        <item x="46"/>
        <item x="36"/>
        <item x="42"/>
        <item x="40"/>
        <item x="45"/>
        <item x="18"/>
        <item x="33"/>
        <item x="43"/>
        <item x="5"/>
        <item x="22"/>
        <item x="31"/>
        <item x="41"/>
        <item x="28"/>
        <item x="9"/>
        <item x="7"/>
        <item x="38"/>
        <item x="32"/>
        <item x="0"/>
        <item x="37"/>
        <item x="6"/>
        <item x="4"/>
        <item x="2"/>
        <item x="8"/>
        <item x="12"/>
        <item x="1"/>
        <item x="29"/>
        <item x="34"/>
        <item x="15"/>
        <item x="11"/>
        <item x="24"/>
        <item x="10"/>
        <item x="30"/>
        <item x="21"/>
        <item x="44"/>
        <item x="20"/>
        <item x="23"/>
        <item x="39"/>
        <item x="26"/>
        <item x="25"/>
        <item x="13"/>
        <item x="17"/>
        <item x="19"/>
        <item x="27"/>
        <item t="default"/>
      </items>
    </pivotField>
    <pivotField numFmtId="15" showAll="0"/>
    <pivotField showAll="0"/>
    <pivotField showAll="0">
      <items count="10">
        <item x="3"/>
        <item h="1" x="0"/>
        <item x="1"/>
        <item x="4"/>
        <item h="1" x="6"/>
        <item h="1" x="2"/>
        <item h="1" x="5"/>
        <item h="1" x="7"/>
        <item h="1" x="8"/>
        <item t="default"/>
      </items>
    </pivotField>
    <pivotField showAll="0"/>
    <pivotField axis="axisRow" showAll="0">
      <items count="3">
        <item x="1"/>
        <item x="0"/>
        <item t="default"/>
      </items>
    </pivotField>
    <pivotField showAll="0"/>
  </pivotFields>
  <rowFields count="1">
    <field x="8"/>
  </rowFields>
  <rowItems count="3">
    <i>
      <x/>
    </i>
    <i>
      <x v="1"/>
    </i>
    <i t="grand">
      <x/>
    </i>
  </rowItems>
  <colItems count="1">
    <i/>
  </colItems>
  <dataFields count="1">
    <dataField name="Count of Country" fld="3"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11F30B-3C1D-4B8A-A8BF-4391142EDC42}"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I50" firstHeaderRow="0" firstDataRow="1" firstDataCol="1"/>
  <pivotFields count="10">
    <pivotField dataField="1" showAll="0">
      <items count="337">
        <item x="177"/>
        <item x="176"/>
        <item x="168"/>
        <item x="47"/>
        <item x="158"/>
        <item x="138"/>
        <item x="162"/>
        <item x="274"/>
        <item x="86"/>
        <item x="4"/>
        <item x="64"/>
        <item x="36"/>
        <item x="107"/>
        <item x="333"/>
        <item x="310"/>
        <item x="205"/>
        <item x="33"/>
        <item x="63"/>
        <item x="189"/>
        <item x="42"/>
        <item x="290"/>
        <item x="323"/>
        <item x="99"/>
        <item x="164"/>
        <item x="325"/>
        <item x="192"/>
        <item x="291"/>
        <item x="133"/>
        <item x="242"/>
        <item x="279"/>
        <item x="144"/>
        <item x="91"/>
        <item x="9"/>
        <item x="67"/>
        <item x="319"/>
        <item x="329"/>
        <item x="315"/>
        <item x="304"/>
        <item x="216"/>
        <item x="224"/>
        <item x="217"/>
        <item x="194"/>
        <item x="200"/>
        <item x="197"/>
        <item x="97"/>
        <item x="230"/>
        <item x="219"/>
        <item x="184"/>
        <item x="119"/>
        <item x="87"/>
        <item x="17"/>
        <item x="58"/>
        <item x="324"/>
        <item x="307"/>
        <item x="293"/>
        <item x="102"/>
        <item x="60"/>
        <item x="50"/>
        <item x="120"/>
        <item x="65"/>
        <item x="61"/>
        <item x="19"/>
        <item x="11"/>
        <item x="31"/>
        <item x="179"/>
        <item x="98"/>
        <item x="296"/>
        <item x="322"/>
        <item x="244"/>
        <item x="238"/>
        <item x="151"/>
        <item x="93"/>
        <item x="214"/>
        <item x="258"/>
        <item x="259"/>
        <item x="41"/>
        <item x="334"/>
        <item x="330"/>
        <item x="326"/>
        <item x="316"/>
        <item x="295"/>
        <item x="260"/>
        <item x="253"/>
        <item x="261"/>
        <item x="12"/>
        <item x="255"/>
        <item x="72"/>
        <item x="243"/>
        <item x="166"/>
        <item x="141"/>
        <item x="154"/>
        <item x="122"/>
        <item x="132"/>
        <item x="105"/>
        <item x="0"/>
        <item x="2"/>
        <item x="28"/>
        <item x="299"/>
        <item x="273"/>
        <item x="146"/>
        <item x="10"/>
        <item x="78"/>
        <item x="298"/>
        <item x="215"/>
        <item x="185"/>
        <item x="186"/>
        <item x="76"/>
        <item x="280"/>
        <item x="263"/>
        <item x="240"/>
        <item x="45"/>
        <item x="5"/>
        <item x="3"/>
        <item x="311"/>
        <item x="287"/>
        <item x="46"/>
        <item x="116"/>
        <item x="335"/>
        <item x="241"/>
        <item x="257"/>
        <item x="251"/>
        <item x="278"/>
        <item x="222"/>
        <item x="110"/>
        <item x="26"/>
        <item x="201"/>
        <item x="233"/>
        <item x="226"/>
        <item x="206"/>
        <item x="92"/>
        <item x="139"/>
        <item x="328"/>
        <item x="126"/>
        <item x="276"/>
        <item x="96"/>
        <item x="34"/>
        <item x="227"/>
        <item x="169"/>
        <item x="118"/>
        <item x="77"/>
        <item x="147"/>
        <item x="148"/>
        <item x="100"/>
        <item x="225"/>
        <item x="203"/>
        <item x="199"/>
        <item x="195"/>
        <item x="196"/>
        <item x="161"/>
        <item x="171"/>
        <item x="172"/>
        <item x="173"/>
        <item x="111"/>
        <item x="112"/>
        <item x="109"/>
        <item x="128"/>
        <item x="84"/>
        <item x="74"/>
        <item x="75"/>
        <item x="38"/>
        <item x="106"/>
        <item x="101"/>
        <item x="302"/>
        <item x="275"/>
        <item x="229"/>
        <item x="155"/>
        <item x="152"/>
        <item x="54"/>
        <item x="156"/>
        <item x="153"/>
        <item x="95"/>
        <item x="20"/>
        <item x="94"/>
        <item x="297"/>
        <item x="262"/>
        <item x="236"/>
        <item x="294"/>
        <item x="268"/>
        <item x="317"/>
        <item x="332"/>
        <item x="327"/>
        <item x="140"/>
        <item x="52"/>
        <item x="18"/>
        <item x="300"/>
        <item x="309"/>
        <item x="127"/>
        <item x="56"/>
        <item x="59"/>
        <item x="55"/>
        <item x="277"/>
        <item x="71"/>
        <item x="212"/>
        <item x="331"/>
        <item x="312"/>
        <item x="237"/>
        <item x="223"/>
        <item x="320"/>
        <item x="305"/>
        <item x="306"/>
        <item x="252"/>
        <item x="270"/>
        <item x="271"/>
        <item x="264"/>
        <item x="265"/>
        <item x="266"/>
        <item x="256"/>
        <item x="281"/>
        <item x="282"/>
        <item x="283"/>
        <item x="267"/>
        <item x="284"/>
        <item x="285"/>
        <item x="246"/>
        <item x="247"/>
        <item x="248"/>
        <item x="249"/>
        <item x="239"/>
        <item x="232"/>
        <item x="228"/>
        <item x="221"/>
        <item x="213"/>
        <item x="210"/>
        <item x="202"/>
        <item x="145"/>
        <item x="117"/>
        <item x="220"/>
        <item x="66"/>
        <item x="53"/>
        <item x="29"/>
        <item x="27"/>
        <item x="30"/>
        <item x="209"/>
        <item x="292"/>
        <item x="73"/>
        <item x="32"/>
        <item x="170"/>
        <item x="129"/>
        <item x="79"/>
        <item x="254"/>
        <item x="135"/>
        <item x="308"/>
        <item x="289"/>
        <item x="142"/>
        <item x="143"/>
        <item x="269"/>
        <item x="321"/>
        <item x="39"/>
        <item x="40"/>
        <item x="136"/>
        <item x="167"/>
        <item x="82"/>
        <item x="83"/>
        <item x="48"/>
        <item x="6"/>
        <item x="1"/>
        <item x="16"/>
        <item x="286"/>
        <item x="160"/>
        <item x="68"/>
        <item x="250"/>
        <item x="245"/>
        <item x="313"/>
        <item x="301"/>
        <item x="207"/>
        <item x="235"/>
        <item x="218"/>
        <item x="208"/>
        <item x="191"/>
        <item x="190"/>
        <item x="188"/>
        <item x="175"/>
        <item x="193"/>
        <item x="149"/>
        <item x="137"/>
        <item x="115"/>
        <item x="121"/>
        <item x="113"/>
        <item x="108"/>
        <item x="103"/>
        <item x="165"/>
        <item x="62"/>
        <item x="57"/>
        <item x="37"/>
        <item x="21"/>
        <item x="22"/>
        <item x="23"/>
        <item x="124"/>
        <item x="125"/>
        <item x="69"/>
        <item x="24"/>
        <item x="44"/>
        <item x="104"/>
        <item x="85"/>
        <item x="43"/>
        <item x="13"/>
        <item x="14"/>
        <item x="15"/>
        <item x="187"/>
        <item x="157"/>
        <item x="131"/>
        <item x="159"/>
        <item x="123"/>
        <item x="88"/>
        <item x="89"/>
        <item x="90"/>
        <item x="35"/>
        <item x="7"/>
        <item x="25"/>
        <item x="8"/>
        <item x="182"/>
        <item x="183"/>
        <item x="163"/>
        <item x="231"/>
        <item x="234"/>
        <item x="211"/>
        <item x="204"/>
        <item x="198"/>
        <item x="150"/>
        <item x="134"/>
        <item x="51"/>
        <item x="70"/>
        <item x="178"/>
        <item x="130"/>
        <item x="180"/>
        <item x="181"/>
        <item x="174"/>
        <item x="114"/>
        <item x="49"/>
        <item x="318"/>
        <item x="314"/>
        <item x="303"/>
        <item x="288"/>
        <item x="272"/>
        <item x="81"/>
        <item x="80"/>
        <item t="default"/>
      </items>
    </pivotField>
    <pivotField showAll="0"/>
    <pivotField dataField="1" numFmtId="4" showAll="0"/>
    <pivotField showAll="0"/>
    <pivotField numFmtId="15" showAll="0"/>
    <pivotField showAll="0"/>
    <pivotField showAll="0">
      <items count="10">
        <item x="3"/>
        <item h="1" x="0"/>
        <item x="1"/>
        <item x="4"/>
        <item h="1" x="6"/>
        <item h="1" x="2"/>
        <item h="1" x="5"/>
        <item h="1" x="7"/>
        <item h="1" x="8"/>
        <item t="default"/>
      </items>
    </pivotField>
    <pivotField showAll="0"/>
    <pivotField showAll="0"/>
    <pivotField axis="axisRow" showAll="0">
      <items count="47">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9"/>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2">
    <i>
      <x/>
    </i>
    <i i="1">
      <x v="1"/>
    </i>
  </colItems>
  <dataFields count="2">
    <dataField name="Count of Project Code" fld="0" subtotal="count" baseField="0" baseItem="0"/>
    <dataField name="Sum of Commitment in U.A" fld="2" baseField="0" baseItem="0" numFmtId="4"/>
  </dataFields>
  <chartFormats count="2">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6010FB-2080-478C-9A15-6EB4B5188A1A}"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10">
    <pivotField dataField="1" showAll="0">
      <items count="337">
        <item x="177"/>
        <item x="176"/>
        <item x="168"/>
        <item x="47"/>
        <item x="158"/>
        <item x="138"/>
        <item x="162"/>
        <item x="274"/>
        <item x="86"/>
        <item x="4"/>
        <item x="64"/>
        <item x="36"/>
        <item x="107"/>
        <item x="333"/>
        <item x="310"/>
        <item x="205"/>
        <item x="33"/>
        <item x="63"/>
        <item x="189"/>
        <item x="42"/>
        <item x="290"/>
        <item x="323"/>
        <item x="99"/>
        <item x="164"/>
        <item x="325"/>
        <item x="192"/>
        <item x="291"/>
        <item x="133"/>
        <item x="242"/>
        <item x="279"/>
        <item x="144"/>
        <item x="91"/>
        <item x="9"/>
        <item x="67"/>
        <item x="319"/>
        <item x="329"/>
        <item x="315"/>
        <item x="304"/>
        <item x="216"/>
        <item x="224"/>
        <item x="217"/>
        <item x="194"/>
        <item x="200"/>
        <item x="197"/>
        <item x="97"/>
        <item x="230"/>
        <item x="219"/>
        <item x="184"/>
        <item x="119"/>
        <item x="87"/>
        <item x="17"/>
        <item x="58"/>
        <item x="324"/>
        <item x="307"/>
        <item x="293"/>
        <item x="102"/>
        <item x="60"/>
        <item x="50"/>
        <item x="120"/>
        <item x="65"/>
        <item x="61"/>
        <item x="19"/>
        <item x="11"/>
        <item x="31"/>
        <item x="179"/>
        <item x="98"/>
        <item x="296"/>
        <item x="322"/>
        <item x="244"/>
        <item x="238"/>
        <item x="151"/>
        <item x="93"/>
        <item x="214"/>
        <item x="258"/>
        <item x="259"/>
        <item x="41"/>
        <item x="334"/>
        <item x="330"/>
        <item x="326"/>
        <item x="316"/>
        <item x="295"/>
        <item x="260"/>
        <item x="253"/>
        <item x="261"/>
        <item x="12"/>
        <item x="255"/>
        <item x="72"/>
        <item x="243"/>
        <item x="166"/>
        <item x="141"/>
        <item x="154"/>
        <item x="122"/>
        <item x="132"/>
        <item x="105"/>
        <item x="0"/>
        <item x="2"/>
        <item x="28"/>
        <item x="299"/>
        <item x="273"/>
        <item x="146"/>
        <item x="10"/>
        <item x="78"/>
        <item x="298"/>
        <item x="215"/>
        <item x="185"/>
        <item x="186"/>
        <item x="76"/>
        <item x="280"/>
        <item x="263"/>
        <item x="240"/>
        <item x="45"/>
        <item x="5"/>
        <item x="3"/>
        <item x="311"/>
        <item x="287"/>
        <item x="46"/>
        <item x="116"/>
        <item x="335"/>
        <item x="241"/>
        <item x="257"/>
        <item x="251"/>
        <item x="278"/>
        <item x="222"/>
        <item x="110"/>
        <item x="26"/>
        <item x="201"/>
        <item x="233"/>
        <item x="226"/>
        <item x="206"/>
        <item x="92"/>
        <item x="139"/>
        <item x="328"/>
        <item x="126"/>
        <item x="276"/>
        <item x="96"/>
        <item x="34"/>
        <item x="227"/>
        <item x="169"/>
        <item x="118"/>
        <item x="77"/>
        <item x="147"/>
        <item x="148"/>
        <item x="100"/>
        <item x="225"/>
        <item x="203"/>
        <item x="199"/>
        <item x="195"/>
        <item x="196"/>
        <item x="161"/>
        <item x="171"/>
        <item x="172"/>
        <item x="173"/>
        <item x="111"/>
        <item x="112"/>
        <item x="109"/>
        <item x="128"/>
        <item x="84"/>
        <item x="74"/>
        <item x="75"/>
        <item x="38"/>
        <item x="106"/>
        <item x="101"/>
        <item x="302"/>
        <item x="275"/>
        <item x="229"/>
        <item x="155"/>
        <item x="152"/>
        <item x="54"/>
        <item x="156"/>
        <item x="153"/>
        <item x="95"/>
        <item x="20"/>
        <item x="94"/>
        <item x="297"/>
        <item x="262"/>
        <item x="236"/>
        <item x="294"/>
        <item x="268"/>
        <item x="317"/>
        <item x="332"/>
        <item x="327"/>
        <item x="140"/>
        <item x="52"/>
        <item x="18"/>
        <item x="300"/>
        <item x="309"/>
        <item x="127"/>
        <item x="56"/>
        <item x="59"/>
        <item x="55"/>
        <item x="277"/>
        <item x="71"/>
        <item x="212"/>
        <item x="331"/>
        <item x="312"/>
        <item x="237"/>
        <item x="223"/>
        <item x="320"/>
        <item x="305"/>
        <item x="306"/>
        <item x="252"/>
        <item x="270"/>
        <item x="271"/>
        <item x="264"/>
        <item x="265"/>
        <item x="266"/>
        <item x="256"/>
        <item x="281"/>
        <item x="282"/>
        <item x="283"/>
        <item x="267"/>
        <item x="284"/>
        <item x="285"/>
        <item x="246"/>
        <item x="247"/>
        <item x="248"/>
        <item x="249"/>
        <item x="239"/>
        <item x="232"/>
        <item x="228"/>
        <item x="221"/>
        <item x="213"/>
        <item x="210"/>
        <item x="202"/>
        <item x="145"/>
        <item x="117"/>
        <item x="220"/>
        <item x="66"/>
        <item x="53"/>
        <item x="29"/>
        <item x="27"/>
        <item x="30"/>
        <item x="209"/>
        <item x="292"/>
        <item x="73"/>
        <item x="32"/>
        <item x="170"/>
        <item x="129"/>
        <item x="79"/>
        <item x="254"/>
        <item x="135"/>
        <item x="308"/>
        <item x="289"/>
        <item x="142"/>
        <item x="143"/>
        <item x="269"/>
        <item x="321"/>
        <item x="39"/>
        <item x="40"/>
        <item x="136"/>
        <item x="167"/>
        <item x="82"/>
        <item x="83"/>
        <item x="48"/>
        <item x="6"/>
        <item x="1"/>
        <item x="16"/>
        <item x="286"/>
        <item x="160"/>
        <item x="68"/>
        <item x="250"/>
        <item x="245"/>
        <item x="313"/>
        <item x="301"/>
        <item x="207"/>
        <item x="235"/>
        <item x="218"/>
        <item x="208"/>
        <item x="191"/>
        <item x="190"/>
        <item x="188"/>
        <item x="175"/>
        <item x="193"/>
        <item x="149"/>
        <item x="137"/>
        <item x="115"/>
        <item x="121"/>
        <item x="113"/>
        <item x="108"/>
        <item x="103"/>
        <item x="165"/>
        <item x="62"/>
        <item x="57"/>
        <item x="37"/>
        <item x="21"/>
        <item x="22"/>
        <item x="23"/>
        <item x="124"/>
        <item x="125"/>
        <item x="69"/>
        <item x="24"/>
        <item x="44"/>
        <item x="104"/>
        <item x="85"/>
        <item x="43"/>
        <item x="13"/>
        <item x="14"/>
        <item x="15"/>
        <item x="187"/>
        <item x="157"/>
        <item x="131"/>
        <item x="159"/>
        <item x="123"/>
        <item x="88"/>
        <item x="89"/>
        <item x="90"/>
        <item x="35"/>
        <item x="7"/>
        <item x="25"/>
        <item x="8"/>
        <item x="182"/>
        <item x="183"/>
        <item x="163"/>
        <item x="231"/>
        <item x="234"/>
        <item x="211"/>
        <item x="204"/>
        <item x="198"/>
        <item x="150"/>
        <item x="134"/>
        <item x="51"/>
        <item x="70"/>
        <item x="178"/>
        <item x="130"/>
        <item x="180"/>
        <item x="181"/>
        <item x="174"/>
        <item x="114"/>
        <item x="49"/>
        <item x="318"/>
        <item x="314"/>
        <item x="303"/>
        <item x="288"/>
        <item x="272"/>
        <item x="81"/>
        <item x="80"/>
        <item t="default"/>
      </items>
    </pivotField>
    <pivotField showAll="0"/>
    <pivotField numFmtId="4" showAll="0"/>
    <pivotField showAll="0"/>
    <pivotField numFmtId="15" showAll="0"/>
    <pivotField axis="axisRow" showAll="0">
      <items count="5">
        <item x="0"/>
        <item x="3"/>
        <item x="2"/>
        <item x="1"/>
        <item t="default"/>
      </items>
    </pivotField>
    <pivotField showAll="0">
      <items count="10">
        <item x="3"/>
        <item h="1" x="0"/>
        <item x="1"/>
        <item x="4"/>
        <item h="1" x="6"/>
        <item h="1" x="2"/>
        <item h="1" x="5"/>
        <item h="1" x="7"/>
        <item h="1" x="8"/>
        <item t="default"/>
      </items>
    </pivotField>
    <pivotField showAll="0"/>
    <pivotField showAll="0"/>
    <pivotField showAll="0"/>
  </pivotFields>
  <rowFields count="1">
    <field x="5"/>
  </rowFields>
  <rowItems count="5">
    <i>
      <x/>
    </i>
    <i>
      <x v="1"/>
    </i>
    <i>
      <x v="2"/>
    </i>
    <i>
      <x v="3"/>
    </i>
    <i t="grand">
      <x/>
    </i>
  </rowItems>
  <colItems count="1">
    <i/>
  </colItems>
  <dataFields count="1">
    <dataField name="Count of Project Code" fld="0" subtotal="count" baseField="0" baseItem="0"/>
  </dataFields>
  <formats count="4">
    <format dxfId="6">
      <pivotArea collapsedLevelsAreSubtotals="1" fieldPosition="0">
        <references count="1">
          <reference field="5" count="1">
            <x v="0"/>
          </reference>
        </references>
      </pivotArea>
    </format>
    <format dxfId="5">
      <pivotArea collapsedLevelsAreSubtotals="1" fieldPosition="0">
        <references count="1">
          <reference field="5" count="1">
            <x v="1"/>
          </reference>
        </references>
      </pivotArea>
    </format>
    <format dxfId="4">
      <pivotArea collapsedLevelsAreSubtotals="1" fieldPosition="0">
        <references count="1">
          <reference field="5" count="1">
            <x v="2"/>
          </reference>
        </references>
      </pivotArea>
    </format>
    <format dxfId="3">
      <pivotArea collapsedLevelsAreSubtotals="1" fieldPosition="0">
        <references count="1">
          <reference field="5" count="1">
            <x v="3"/>
          </reference>
        </references>
      </pivotArea>
    </format>
  </formats>
  <chartFormats count="5">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of_Financing1" xr10:uid="{7A5603E3-A5FB-4C2A-9410-C4B5564087D4}" sourceName="Source of Financing">
  <pivotTables>
    <pivotTable tabId="10" name="PivotTable37"/>
    <pivotTable tabId="10" name="PivotTable38"/>
    <pivotTable tabId="10" name="PivotTable39"/>
    <pivotTable tabId="10" name="PivotTable41"/>
  </pivotTables>
  <data>
    <tabular pivotCacheId="1143135592">
      <items count="9">
        <i x="3" s="1"/>
        <i x="0"/>
        <i x="1" s="1"/>
        <i x="4" s="1"/>
        <i x="6"/>
        <i x="2"/>
        <i x="5"/>
        <i x="7"/>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of Financing" xr10:uid="{0C6128EF-AA02-4618-9365-7C25BEB4852B}" cache="Slicer_Source_of_Financing1" caption="Source of Financin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of Financing 2" xr10:uid="{47F56282-7957-4F74-A3A9-55D970DFCDDE}" cache="Slicer_Source_of_Financing1" caption="Source of Financing"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1185FD-FD95-475B-B6B8-20AD7B3F626C}" name="Table1" displayName="Table1" ref="A1:J337" totalsRowShown="0">
  <autoFilter ref="A1:J337" xr:uid="{F21185FD-FD95-475B-B6B8-20AD7B3F626C}"/>
  <tableColumns count="10">
    <tableColumn id="1" xr3:uid="{79923B48-C807-4005-AE5D-E43385A41B44}" name="Project Code"/>
    <tableColumn id="2" xr3:uid="{88D5DDD2-96C5-4C8E-A7B2-8C4ED3FD2018}" name="Title"/>
    <tableColumn id="3" xr3:uid="{795143B8-31A0-4694-98A9-5B0ED02900C3}" name="Commitment in U.A" dataDxfId="2"/>
    <tableColumn id="4" xr3:uid="{C9824680-DF7A-4ABE-BCC6-C8C04DC827B2}" name="Country"/>
    <tableColumn id="5" xr3:uid="{F6DEEBE8-764D-43AF-AEBD-A838A6D99147}" name="Starting Date" dataDxfId="1"/>
    <tableColumn id="6" xr3:uid="{5991BADB-00BE-4B62-B994-8026C88D2846}" name="Status"/>
    <tableColumn id="7" xr3:uid="{C3E54406-D187-4A9F-A480-0AD1FED05EC2}" name="Source of Financing"/>
    <tableColumn id="8" xr3:uid="{30DB1B50-0952-403A-9677-DE67AA969E63}" name="Sector"/>
    <tableColumn id="9" xr3:uid="{080DCA22-C27E-4654-82A6-A53D85319B4C}" name="Sovereign"/>
    <tableColumn id="10" xr3:uid="{92463AC0-DD8B-4947-B1C7-6CA5E7251EFB}" name="Year" dataDxfId="0">
      <calculatedColumnFormula>YEAR(Table1[[#This Row],[Starting Date]])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F8D7-C73B-4779-A353-66A0784C7D8F}">
  <dimension ref="A1:J337"/>
  <sheetViews>
    <sheetView topLeftCell="A2" workbookViewId="0">
      <selection sqref="A1:J337"/>
    </sheetView>
  </sheetViews>
  <sheetFormatPr defaultRowHeight="14.4" x14ac:dyDescent="0.3"/>
  <cols>
    <col min="1" max="1" width="29.77734375" customWidth="1"/>
    <col min="2" max="2" width="60.6640625" customWidth="1"/>
    <col min="3" max="3" width="23.77734375" customWidth="1"/>
    <col min="4" max="4" width="17.109375" customWidth="1"/>
    <col min="5" max="5" width="24.109375" customWidth="1"/>
    <col min="6" max="6" width="19.44140625" customWidth="1"/>
    <col min="7" max="7" width="30.5546875" customWidth="1"/>
    <col min="8" max="8" width="18.21875" customWidth="1"/>
    <col min="9" max="9" width="18.5546875" customWidth="1"/>
    <col min="13" max="13" width="30.5546875" customWidth="1"/>
  </cols>
  <sheetData>
    <row r="1" spans="1:10" x14ac:dyDescent="0.3">
      <c r="A1" t="s">
        <v>0</v>
      </c>
      <c r="B1" t="s">
        <v>1</v>
      </c>
      <c r="C1" t="s">
        <v>2</v>
      </c>
      <c r="D1" t="s">
        <v>3</v>
      </c>
      <c r="E1" t="s">
        <v>4</v>
      </c>
      <c r="F1" t="s">
        <v>5</v>
      </c>
      <c r="G1" t="s">
        <v>6</v>
      </c>
      <c r="H1" t="s">
        <v>7</v>
      </c>
      <c r="I1" t="s">
        <v>8</v>
      </c>
      <c r="J1" t="s">
        <v>729</v>
      </c>
    </row>
    <row r="2" spans="1:10" x14ac:dyDescent="0.3">
      <c r="A2" t="s">
        <v>9</v>
      </c>
      <c r="B2" t="s">
        <v>10</v>
      </c>
      <c r="C2" s="1">
        <v>12080000</v>
      </c>
      <c r="D2" t="s">
        <v>11</v>
      </c>
      <c r="E2" s="2">
        <v>44132</v>
      </c>
      <c r="F2" t="s">
        <v>12</v>
      </c>
      <c r="G2" t="s">
        <v>13</v>
      </c>
      <c r="H2" t="s">
        <v>14</v>
      </c>
      <c r="I2" t="s">
        <v>8</v>
      </c>
      <c r="J2">
        <f>YEAR(Table1[[#This Row],[Starting Date]])</f>
        <v>2020</v>
      </c>
    </row>
    <row r="3" spans="1:10" x14ac:dyDescent="0.3">
      <c r="A3" t="s">
        <v>15</v>
      </c>
      <c r="B3" t="s">
        <v>16</v>
      </c>
      <c r="C3" s="1">
        <v>1500000</v>
      </c>
      <c r="D3" t="s">
        <v>17</v>
      </c>
      <c r="E3" s="2">
        <v>44117</v>
      </c>
      <c r="F3" t="s">
        <v>18</v>
      </c>
      <c r="G3" t="s">
        <v>19</v>
      </c>
      <c r="H3" t="s">
        <v>14</v>
      </c>
      <c r="I3" t="s">
        <v>8</v>
      </c>
      <c r="J3">
        <f>YEAR(Table1[[#This Row],[Starting Date]])</f>
        <v>2020</v>
      </c>
    </row>
    <row r="4" spans="1:10" x14ac:dyDescent="0.3">
      <c r="A4" t="s">
        <v>20</v>
      </c>
      <c r="B4" t="s">
        <v>21</v>
      </c>
      <c r="C4" s="1">
        <v>1000000</v>
      </c>
      <c r="D4" t="s">
        <v>11</v>
      </c>
      <c r="E4" s="2">
        <v>43966</v>
      </c>
      <c r="F4" t="s">
        <v>18</v>
      </c>
      <c r="G4" t="s">
        <v>19</v>
      </c>
      <c r="H4" t="s">
        <v>14</v>
      </c>
      <c r="I4" t="s">
        <v>8</v>
      </c>
      <c r="J4">
        <f>YEAR(Table1[[#This Row],[Starting Date]])</f>
        <v>2020</v>
      </c>
    </row>
    <row r="5" spans="1:10" x14ac:dyDescent="0.3">
      <c r="A5" t="s">
        <v>22</v>
      </c>
      <c r="B5" t="s">
        <v>23</v>
      </c>
      <c r="C5" s="1">
        <v>430000</v>
      </c>
      <c r="D5" t="s">
        <v>24</v>
      </c>
      <c r="E5" s="2">
        <v>43948</v>
      </c>
      <c r="F5" t="s">
        <v>18</v>
      </c>
      <c r="G5" t="s">
        <v>25</v>
      </c>
      <c r="H5" t="s">
        <v>14</v>
      </c>
      <c r="I5" t="s">
        <v>8</v>
      </c>
      <c r="J5">
        <f>YEAR(Table1[[#This Row],[Starting Date]])</f>
        <v>2020</v>
      </c>
    </row>
    <row r="6" spans="1:10" x14ac:dyDescent="0.3">
      <c r="A6" t="s">
        <v>26</v>
      </c>
      <c r="B6" t="s">
        <v>27</v>
      </c>
      <c r="C6" s="1">
        <v>23415605.039999999</v>
      </c>
      <c r="D6" t="s">
        <v>28</v>
      </c>
      <c r="E6" s="2">
        <v>43936</v>
      </c>
      <c r="F6" t="s">
        <v>12</v>
      </c>
      <c r="G6" t="s">
        <v>29</v>
      </c>
      <c r="H6" t="s">
        <v>14</v>
      </c>
      <c r="I6" t="s">
        <v>30</v>
      </c>
      <c r="J6">
        <f>YEAR(Table1[[#This Row],[Starting Date]])</f>
        <v>2020</v>
      </c>
    </row>
    <row r="7" spans="1:10" x14ac:dyDescent="0.3">
      <c r="A7" t="s">
        <v>31</v>
      </c>
      <c r="B7" t="s">
        <v>32</v>
      </c>
      <c r="C7" s="1">
        <v>400000</v>
      </c>
      <c r="D7" t="s">
        <v>33</v>
      </c>
      <c r="E7" s="2">
        <v>43922</v>
      </c>
      <c r="F7" t="s">
        <v>12</v>
      </c>
      <c r="G7" t="s">
        <v>13</v>
      </c>
      <c r="H7" t="s">
        <v>14</v>
      </c>
      <c r="I7" t="s">
        <v>8</v>
      </c>
      <c r="J7">
        <f>YEAR(Table1[[#This Row],[Starting Date]])</f>
        <v>2020</v>
      </c>
    </row>
    <row r="8" spans="1:10" x14ac:dyDescent="0.3">
      <c r="A8" t="s">
        <v>34</v>
      </c>
      <c r="B8" t="s">
        <v>35</v>
      </c>
      <c r="C8" s="1">
        <v>7978171.7199999997</v>
      </c>
      <c r="D8" t="s">
        <v>17</v>
      </c>
      <c r="E8" s="2">
        <v>43908</v>
      </c>
      <c r="F8" t="s">
        <v>12</v>
      </c>
      <c r="G8" t="s">
        <v>29</v>
      </c>
      <c r="H8" t="s">
        <v>14</v>
      </c>
      <c r="I8" t="s">
        <v>30</v>
      </c>
      <c r="J8">
        <f>YEAR(Table1[[#This Row],[Starting Date]])</f>
        <v>2020</v>
      </c>
    </row>
    <row r="9" spans="1:10" x14ac:dyDescent="0.3">
      <c r="A9" t="s">
        <v>36</v>
      </c>
      <c r="B9" t="s">
        <v>37</v>
      </c>
      <c r="C9" s="1">
        <v>1086959.78</v>
      </c>
      <c r="D9" t="s">
        <v>17</v>
      </c>
      <c r="E9" s="2">
        <v>43872</v>
      </c>
      <c r="F9" t="s">
        <v>18</v>
      </c>
      <c r="G9" t="s">
        <v>38</v>
      </c>
      <c r="H9" t="s">
        <v>14</v>
      </c>
      <c r="I9" t="s">
        <v>8</v>
      </c>
      <c r="J9">
        <f>YEAR(Table1[[#This Row],[Starting Date]])</f>
        <v>2020</v>
      </c>
    </row>
    <row r="10" spans="1:10" x14ac:dyDescent="0.3">
      <c r="A10" t="s">
        <v>39</v>
      </c>
      <c r="B10" t="s">
        <v>40</v>
      </c>
      <c r="C10" s="1">
        <v>363451.33</v>
      </c>
      <c r="D10" t="s">
        <v>17</v>
      </c>
      <c r="E10" s="2">
        <v>43872</v>
      </c>
      <c r="F10" t="s">
        <v>12</v>
      </c>
      <c r="G10" t="s">
        <v>38</v>
      </c>
      <c r="H10" t="s">
        <v>14</v>
      </c>
      <c r="I10" t="s">
        <v>8</v>
      </c>
      <c r="J10">
        <f>YEAR(Table1[[#This Row],[Starting Date]])</f>
        <v>2020</v>
      </c>
    </row>
    <row r="11" spans="1:10" x14ac:dyDescent="0.3">
      <c r="A11" t="s">
        <v>41</v>
      </c>
      <c r="B11" t="s">
        <v>42</v>
      </c>
      <c r="C11" s="1">
        <v>10976064.859999999</v>
      </c>
      <c r="D11" t="s">
        <v>43</v>
      </c>
      <c r="E11" s="2">
        <v>43859</v>
      </c>
      <c r="F11" t="s">
        <v>12</v>
      </c>
      <c r="G11" t="s">
        <v>29</v>
      </c>
      <c r="H11" t="s">
        <v>14</v>
      </c>
      <c r="I11" t="s">
        <v>30</v>
      </c>
      <c r="J11">
        <f>YEAR(Table1[[#This Row],[Starting Date]])</f>
        <v>2020</v>
      </c>
    </row>
    <row r="12" spans="1:10" x14ac:dyDescent="0.3">
      <c r="A12" t="s">
        <v>44</v>
      </c>
      <c r="B12" t="s">
        <v>45</v>
      </c>
      <c r="C12" s="1">
        <v>7290000</v>
      </c>
      <c r="D12" t="s">
        <v>46</v>
      </c>
      <c r="E12" s="2">
        <v>43804</v>
      </c>
      <c r="F12" t="s">
        <v>12</v>
      </c>
      <c r="G12" t="s">
        <v>13</v>
      </c>
      <c r="H12" t="s">
        <v>14</v>
      </c>
      <c r="I12" t="s">
        <v>8</v>
      </c>
      <c r="J12">
        <f>YEAR(Table1[[#This Row],[Starting Date]])</f>
        <v>2019</v>
      </c>
    </row>
    <row r="13" spans="1:10" x14ac:dyDescent="0.3">
      <c r="A13" t="s">
        <v>47</v>
      </c>
      <c r="B13" t="s">
        <v>48</v>
      </c>
      <c r="C13" s="1">
        <v>73173765.739999995</v>
      </c>
      <c r="D13" t="s">
        <v>49</v>
      </c>
      <c r="E13" s="2">
        <v>43797</v>
      </c>
      <c r="F13" t="s">
        <v>12</v>
      </c>
      <c r="G13" t="s">
        <v>29</v>
      </c>
      <c r="H13" t="s">
        <v>14</v>
      </c>
      <c r="I13" t="s">
        <v>30</v>
      </c>
      <c r="J13">
        <f>YEAR(Table1[[#This Row],[Starting Date]])</f>
        <v>2019</v>
      </c>
    </row>
    <row r="14" spans="1:10" x14ac:dyDescent="0.3">
      <c r="A14" t="s">
        <v>50</v>
      </c>
      <c r="B14" t="s">
        <v>51</v>
      </c>
      <c r="C14" s="1">
        <v>79781717.219999999</v>
      </c>
      <c r="D14" t="s">
        <v>52</v>
      </c>
      <c r="E14" s="2">
        <v>43797</v>
      </c>
      <c r="F14" t="s">
        <v>12</v>
      </c>
      <c r="G14" t="s">
        <v>29</v>
      </c>
      <c r="H14" t="s">
        <v>14</v>
      </c>
      <c r="I14" t="s">
        <v>30</v>
      </c>
      <c r="J14">
        <f>YEAR(Table1[[#This Row],[Starting Date]])</f>
        <v>2019</v>
      </c>
    </row>
    <row r="15" spans="1:10" x14ac:dyDescent="0.3">
      <c r="A15" t="s">
        <v>53</v>
      </c>
      <c r="B15" t="s">
        <v>54</v>
      </c>
      <c r="C15" s="1">
        <v>1258000</v>
      </c>
      <c r="D15" t="s">
        <v>17</v>
      </c>
      <c r="E15" s="2">
        <v>43794</v>
      </c>
      <c r="F15" t="s">
        <v>18</v>
      </c>
      <c r="G15" t="s">
        <v>19</v>
      </c>
      <c r="H15" t="s">
        <v>14</v>
      </c>
      <c r="I15" t="s">
        <v>8</v>
      </c>
      <c r="J15">
        <f>YEAR(Table1[[#This Row],[Starting Date]])</f>
        <v>2019</v>
      </c>
    </row>
    <row r="16" spans="1:10" x14ac:dyDescent="0.3">
      <c r="A16" t="s">
        <v>55</v>
      </c>
      <c r="B16" t="s">
        <v>56</v>
      </c>
      <c r="C16" s="1">
        <v>279000</v>
      </c>
      <c r="D16" t="s">
        <v>17</v>
      </c>
      <c r="E16" s="2">
        <v>43794</v>
      </c>
      <c r="F16" t="s">
        <v>12</v>
      </c>
      <c r="G16" t="s">
        <v>19</v>
      </c>
      <c r="H16" t="s">
        <v>14</v>
      </c>
      <c r="I16" t="s">
        <v>8</v>
      </c>
      <c r="J16">
        <f>YEAR(Table1[[#This Row],[Starting Date]])</f>
        <v>2019</v>
      </c>
    </row>
    <row r="17" spans="1:10" x14ac:dyDescent="0.3">
      <c r="A17" t="s">
        <v>57</v>
      </c>
      <c r="B17" t="s">
        <v>58</v>
      </c>
      <c r="C17" s="1">
        <v>463000</v>
      </c>
      <c r="D17" t="s">
        <v>17</v>
      </c>
      <c r="E17" s="2">
        <v>43794</v>
      </c>
      <c r="F17" t="s">
        <v>12</v>
      </c>
      <c r="G17" t="s">
        <v>19</v>
      </c>
      <c r="H17" t="s">
        <v>14</v>
      </c>
      <c r="I17" t="s">
        <v>8</v>
      </c>
      <c r="J17">
        <f>YEAR(Table1[[#This Row],[Starting Date]])</f>
        <v>2019</v>
      </c>
    </row>
    <row r="18" spans="1:10" x14ac:dyDescent="0.3">
      <c r="A18" t="s">
        <v>59</v>
      </c>
      <c r="B18" t="s">
        <v>60</v>
      </c>
      <c r="C18" s="1">
        <v>783328</v>
      </c>
      <c r="D18" t="s">
        <v>17</v>
      </c>
      <c r="E18" s="2">
        <v>43790</v>
      </c>
      <c r="F18" t="s">
        <v>12</v>
      </c>
      <c r="G18" t="s">
        <v>25</v>
      </c>
      <c r="H18" t="s">
        <v>14</v>
      </c>
      <c r="I18" t="s">
        <v>8</v>
      </c>
      <c r="J18">
        <f>YEAR(Table1[[#This Row],[Starting Date]])</f>
        <v>2019</v>
      </c>
    </row>
    <row r="19" spans="1:10" x14ac:dyDescent="0.3">
      <c r="A19" t="s">
        <v>61</v>
      </c>
      <c r="B19" t="s">
        <v>62</v>
      </c>
      <c r="C19" s="1">
        <v>5853901.2599999998</v>
      </c>
      <c r="D19" t="s">
        <v>63</v>
      </c>
      <c r="E19" s="2">
        <v>43732</v>
      </c>
      <c r="F19" t="s">
        <v>12</v>
      </c>
      <c r="G19" t="s">
        <v>29</v>
      </c>
      <c r="H19" t="s">
        <v>14</v>
      </c>
      <c r="I19" t="s">
        <v>30</v>
      </c>
      <c r="J19">
        <f>YEAR(Table1[[#This Row],[Starting Date]])</f>
        <v>2019</v>
      </c>
    </row>
    <row r="20" spans="1:10" ht="2.4" customHeight="1" x14ac:dyDescent="0.3">
      <c r="A20" t="s">
        <v>64</v>
      </c>
      <c r="B20" t="s">
        <v>65</v>
      </c>
      <c r="C20" s="1">
        <v>11967257.58</v>
      </c>
      <c r="D20" t="s">
        <v>66</v>
      </c>
      <c r="E20" s="2">
        <v>43732</v>
      </c>
      <c r="F20" t="s">
        <v>12</v>
      </c>
      <c r="G20" t="s">
        <v>29</v>
      </c>
      <c r="H20" t="s">
        <v>14</v>
      </c>
      <c r="I20" t="s">
        <v>30</v>
      </c>
      <c r="J20">
        <f>YEAR(Table1[[#This Row],[Starting Date]])</f>
        <v>2019</v>
      </c>
    </row>
    <row r="21" spans="1:10" x14ac:dyDescent="0.3">
      <c r="A21" t="s">
        <v>67</v>
      </c>
      <c r="B21" t="s">
        <v>68</v>
      </c>
      <c r="C21" s="1">
        <v>5666565.1399999997</v>
      </c>
      <c r="D21" t="s">
        <v>49</v>
      </c>
      <c r="E21" s="2">
        <v>43663</v>
      </c>
      <c r="F21" t="s">
        <v>12</v>
      </c>
      <c r="G21" t="s">
        <v>29</v>
      </c>
      <c r="H21" t="s">
        <v>14</v>
      </c>
      <c r="I21" t="s">
        <v>30</v>
      </c>
      <c r="J21">
        <f>YEAR(Table1[[#This Row],[Starting Date]])</f>
        <v>2019</v>
      </c>
    </row>
    <row r="22" spans="1:10" x14ac:dyDescent="0.3">
      <c r="A22" t="s">
        <v>69</v>
      </c>
      <c r="B22" t="s">
        <v>70</v>
      </c>
      <c r="C22" s="1">
        <v>10244327.199999999</v>
      </c>
      <c r="D22" t="s">
        <v>71</v>
      </c>
      <c r="E22" s="2">
        <v>43663</v>
      </c>
      <c r="F22" t="s">
        <v>12</v>
      </c>
      <c r="G22" t="s">
        <v>29</v>
      </c>
      <c r="H22" t="s">
        <v>14</v>
      </c>
      <c r="I22" t="s">
        <v>30</v>
      </c>
      <c r="J22">
        <f>YEAR(Table1[[#This Row],[Starting Date]])</f>
        <v>2019</v>
      </c>
    </row>
    <row r="23" spans="1:10" x14ac:dyDescent="0.3">
      <c r="A23" t="s">
        <v>72</v>
      </c>
      <c r="B23" t="s">
        <v>73</v>
      </c>
      <c r="C23" s="1">
        <v>36586882.869999997</v>
      </c>
      <c r="D23" t="s">
        <v>17</v>
      </c>
      <c r="E23" s="2">
        <v>43663</v>
      </c>
      <c r="F23" t="s">
        <v>12</v>
      </c>
      <c r="G23" t="s">
        <v>29</v>
      </c>
      <c r="H23" t="s">
        <v>14</v>
      </c>
      <c r="I23" t="s">
        <v>30</v>
      </c>
      <c r="J23">
        <f>YEAR(Table1[[#This Row],[Starting Date]])</f>
        <v>2019</v>
      </c>
    </row>
    <row r="24" spans="1:10" x14ac:dyDescent="0.3">
      <c r="A24" t="s">
        <v>74</v>
      </c>
      <c r="B24" t="s">
        <v>73</v>
      </c>
      <c r="C24" s="1">
        <v>146347531.47999999</v>
      </c>
      <c r="D24" t="s">
        <v>17</v>
      </c>
      <c r="E24" s="2">
        <v>43663</v>
      </c>
      <c r="F24" t="s">
        <v>18</v>
      </c>
      <c r="G24" t="s">
        <v>29</v>
      </c>
      <c r="H24" t="s">
        <v>14</v>
      </c>
      <c r="I24" t="s">
        <v>30</v>
      </c>
      <c r="J24">
        <f>YEAR(Table1[[#This Row],[Starting Date]])</f>
        <v>2019</v>
      </c>
    </row>
    <row r="25" spans="1:10" x14ac:dyDescent="0.3">
      <c r="A25" t="s">
        <v>75</v>
      </c>
      <c r="B25" t="s">
        <v>73</v>
      </c>
      <c r="C25" s="1">
        <v>36586882.869999997</v>
      </c>
      <c r="D25" t="s">
        <v>17</v>
      </c>
      <c r="E25" s="2">
        <v>43663</v>
      </c>
      <c r="F25" t="s">
        <v>12</v>
      </c>
      <c r="G25" t="s">
        <v>29</v>
      </c>
      <c r="H25" t="s">
        <v>14</v>
      </c>
      <c r="I25" t="s">
        <v>30</v>
      </c>
      <c r="J25">
        <f>YEAR(Table1[[#This Row],[Starting Date]])</f>
        <v>2019</v>
      </c>
    </row>
    <row r="26" spans="1:10" x14ac:dyDescent="0.3">
      <c r="A26" t="s">
        <v>76</v>
      </c>
      <c r="B26" t="s">
        <v>77</v>
      </c>
      <c r="C26" s="1">
        <v>79781717.219999999</v>
      </c>
      <c r="D26" t="s">
        <v>17</v>
      </c>
      <c r="E26" s="2">
        <v>43663</v>
      </c>
      <c r="F26" t="s">
        <v>12</v>
      </c>
      <c r="G26" t="s">
        <v>29</v>
      </c>
      <c r="H26" t="s">
        <v>14</v>
      </c>
      <c r="I26" t="s">
        <v>30</v>
      </c>
      <c r="J26">
        <f>YEAR(Table1[[#This Row],[Starting Date]])</f>
        <v>2019</v>
      </c>
    </row>
    <row r="27" spans="1:10" x14ac:dyDescent="0.3">
      <c r="A27" t="s">
        <v>78</v>
      </c>
      <c r="B27" t="s">
        <v>79</v>
      </c>
      <c r="C27" s="1">
        <v>4800000</v>
      </c>
      <c r="D27" t="s">
        <v>17</v>
      </c>
      <c r="E27" s="2">
        <v>43663</v>
      </c>
      <c r="F27" t="s">
        <v>18</v>
      </c>
      <c r="G27" t="s">
        <v>13</v>
      </c>
      <c r="H27" t="s">
        <v>14</v>
      </c>
      <c r="I27" t="s">
        <v>8</v>
      </c>
      <c r="J27">
        <f>YEAR(Table1[[#This Row],[Starting Date]])</f>
        <v>2019</v>
      </c>
    </row>
    <row r="28" spans="1:10" x14ac:dyDescent="0.3">
      <c r="A28" t="s">
        <v>80</v>
      </c>
      <c r="B28" t="s">
        <v>81</v>
      </c>
      <c r="C28" s="1">
        <v>21952129.719999999</v>
      </c>
      <c r="D28" t="s">
        <v>82</v>
      </c>
      <c r="E28" s="2">
        <v>43661</v>
      </c>
      <c r="F28" t="s">
        <v>12</v>
      </c>
      <c r="G28" t="s">
        <v>29</v>
      </c>
      <c r="H28" t="s">
        <v>14</v>
      </c>
      <c r="I28" t="s">
        <v>30</v>
      </c>
      <c r="J28">
        <f>YEAR(Table1[[#This Row],[Starting Date]])</f>
        <v>2019</v>
      </c>
    </row>
    <row r="29" spans="1:10" x14ac:dyDescent="0.3">
      <c r="A29" t="s">
        <v>83</v>
      </c>
      <c r="B29" t="s">
        <v>84</v>
      </c>
      <c r="C29" s="1">
        <v>84148876.189999998</v>
      </c>
      <c r="D29" t="s">
        <v>85</v>
      </c>
      <c r="E29" s="2">
        <v>43642</v>
      </c>
      <c r="F29" t="s">
        <v>12</v>
      </c>
      <c r="G29" t="s">
        <v>29</v>
      </c>
      <c r="H29" t="s">
        <v>14</v>
      </c>
      <c r="I29" t="s">
        <v>8</v>
      </c>
      <c r="J29">
        <f>YEAR(Table1[[#This Row],[Starting Date]])</f>
        <v>2019</v>
      </c>
    </row>
    <row r="30" spans="1:10" x14ac:dyDescent="0.3">
      <c r="A30" t="s">
        <v>86</v>
      </c>
      <c r="B30" t="s">
        <v>87</v>
      </c>
      <c r="C30" s="1">
        <v>1500000</v>
      </c>
      <c r="D30" t="s">
        <v>11</v>
      </c>
      <c r="E30" s="2">
        <v>43615</v>
      </c>
      <c r="F30" t="s">
        <v>18</v>
      </c>
      <c r="G30" t="s">
        <v>19</v>
      </c>
      <c r="H30" t="s">
        <v>14</v>
      </c>
      <c r="I30" t="s">
        <v>8</v>
      </c>
      <c r="J30">
        <f>YEAR(Table1[[#This Row],[Starting Date]])</f>
        <v>2019</v>
      </c>
    </row>
    <row r="31" spans="1:10" x14ac:dyDescent="0.3">
      <c r="A31" t="s">
        <v>88</v>
      </c>
      <c r="B31" t="s">
        <v>89</v>
      </c>
      <c r="C31" s="1">
        <v>12593612.52</v>
      </c>
      <c r="D31" t="s">
        <v>85</v>
      </c>
      <c r="E31" s="2">
        <v>43614</v>
      </c>
      <c r="F31" t="s">
        <v>12</v>
      </c>
      <c r="G31" t="s">
        <v>29</v>
      </c>
      <c r="H31" t="s">
        <v>14</v>
      </c>
      <c r="I31" t="s">
        <v>30</v>
      </c>
      <c r="J31">
        <f>YEAR(Table1[[#This Row],[Starting Date]])</f>
        <v>2019</v>
      </c>
    </row>
    <row r="32" spans="1:10" x14ac:dyDescent="0.3">
      <c r="A32" t="s">
        <v>90</v>
      </c>
      <c r="B32" t="s">
        <v>89</v>
      </c>
      <c r="C32" s="1">
        <v>29385095.879999999</v>
      </c>
      <c r="D32" t="s">
        <v>85</v>
      </c>
      <c r="E32" s="2">
        <v>43614</v>
      </c>
      <c r="F32" t="s">
        <v>12</v>
      </c>
      <c r="G32" t="s">
        <v>29</v>
      </c>
      <c r="H32" t="s">
        <v>14</v>
      </c>
      <c r="I32" t="s">
        <v>30</v>
      </c>
      <c r="J32">
        <f>YEAR(Table1[[#This Row],[Starting Date]])</f>
        <v>2019</v>
      </c>
    </row>
    <row r="33" spans="1:10" x14ac:dyDescent="0.3">
      <c r="A33" t="s">
        <v>91</v>
      </c>
      <c r="B33" t="s">
        <v>92</v>
      </c>
      <c r="C33" s="1">
        <v>75461573.290000007</v>
      </c>
      <c r="D33" t="s">
        <v>49</v>
      </c>
      <c r="E33" s="2">
        <v>43600</v>
      </c>
      <c r="F33" t="s">
        <v>18</v>
      </c>
      <c r="G33" t="s">
        <v>29</v>
      </c>
      <c r="H33" t="s">
        <v>14</v>
      </c>
      <c r="I33" t="s">
        <v>8</v>
      </c>
      <c r="J33">
        <f>YEAR(Table1[[#This Row],[Starting Date]])</f>
        <v>2019</v>
      </c>
    </row>
    <row r="34" spans="1:10" x14ac:dyDescent="0.3">
      <c r="A34" t="s">
        <v>93</v>
      </c>
      <c r="B34" t="s">
        <v>94</v>
      </c>
      <c r="C34" s="1">
        <v>95319040.769999996</v>
      </c>
      <c r="D34" t="s">
        <v>85</v>
      </c>
      <c r="E34" s="2">
        <v>43600</v>
      </c>
      <c r="F34" t="s">
        <v>12</v>
      </c>
      <c r="G34" t="s">
        <v>29</v>
      </c>
      <c r="H34" t="s">
        <v>14</v>
      </c>
      <c r="I34" t="s">
        <v>8</v>
      </c>
      <c r="J34">
        <f>YEAR(Table1[[#This Row],[Starting Date]])</f>
        <v>2019</v>
      </c>
    </row>
    <row r="35" spans="1:10" x14ac:dyDescent="0.3">
      <c r="A35" t="s">
        <v>95</v>
      </c>
      <c r="B35" t="s">
        <v>96</v>
      </c>
      <c r="C35" s="1">
        <v>57998332.549999997</v>
      </c>
      <c r="D35" t="s">
        <v>97</v>
      </c>
      <c r="E35" s="2">
        <v>43579</v>
      </c>
      <c r="F35" t="s">
        <v>18</v>
      </c>
      <c r="G35" t="s">
        <v>29</v>
      </c>
      <c r="H35" t="s">
        <v>14</v>
      </c>
      <c r="I35" t="s">
        <v>30</v>
      </c>
      <c r="J35">
        <f>YEAR(Table1[[#This Row],[Starting Date]])</f>
        <v>2019</v>
      </c>
    </row>
    <row r="36" spans="1:10" x14ac:dyDescent="0.3">
      <c r="A36" t="s">
        <v>98</v>
      </c>
      <c r="B36" t="s">
        <v>99</v>
      </c>
      <c r="C36" s="1">
        <v>10717644.689999999</v>
      </c>
      <c r="D36" t="s">
        <v>100</v>
      </c>
      <c r="E36" s="2">
        <v>43560</v>
      </c>
      <c r="F36" t="s">
        <v>12</v>
      </c>
      <c r="G36" t="s">
        <v>29</v>
      </c>
      <c r="H36" t="s">
        <v>14</v>
      </c>
      <c r="I36" t="s">
        <v>30</v>
      </c>
      <c r="J36">
        <f>YEAR(Table1[[#This Row],[Starting Date]])</f>
        <v>2019</v>
      </c>
    </row>
    <row r="37" spans="1:10" x14ac:dyDescent="0.3">
      <c r="A37" t="s">
        <v>101</v>
      </c>
      <c r="B37" t="s">
        <v>102</v>
      </c>
      <c r="C37" s="1">
        <v>900000</v>
      </c>
      <c r="D37" t="s">
        <v>17</v>
      </c>
      <c r="E37" s="2">
        <v>43523</v>
      </c>
      <c r="F37" t="s">
        <v>18</v>
      </c>
      <c r="G37" t="s">
        <v>19</v>
      </c>
      <c r="H37" t="s">
        <v>14</v>
      </c>
      <c r="I37" t="s">
        <v>8</v>
      </c>
      <c r="J37">
        <f>YEAR(Table1[[#This Row],[Starting Date]])</f>
        <v>2019</v>
      </c>
    </row>
    <row r="38" spans="1:10" x14ac:dyDescent="0.3">
      <c r="A38" t="s">
        <v>103</v>
      </c>
      <c r="B38" t="s">
        <v>104</v>
      </c>
      <c r="C38" s="1">
        <v>15000000</v>
      </c>
      <c r="D38" t="s">
        <v>105</v>
      </c>
      <c r="E38" s="2">
        <v>43448</v>
      </c>
      <c r="F38" t="s">
        <v>18</v>
      </c>
      <c r="G38" t="s">
        <v>13</v>
      </c>
      <c r="H38" t="s">
        <v>14</v>
      </c>
      <c r="I38" t="s">
        <v>8</v>
      </c>
      <c r="J38">
        <f>YEAR(Table1[[#This Row],[Starting Date]])</f>
        <v>2018</v>
      </c>
    </row>
    <row r="39" spans="1:10" x14ac:dyDescent="0.3">
      <c r="A39" t="s">
        <v>106</v>
      </c>
      <c r="B39" t="s">
        <v>107</v>
      </c>
      <c r="C39" s="1">
        <v>356000</v>
      </c>
      <c r="D39" t="s">
        <v>17</v>
      </c>
      <c r="E39" s="2">
        <v>43446</v>
      </c>
      <c r="F39" t="s">
        <v>18</v>
      </c>
      <c r="G39" t="s">
        <v>25</v>
      </c>
      <c r="H39" t="s">
        <v>14</v>
      </c>
      <c r="I39" t="s">
        <v>8</v>
      </c>
      <c r="J39">
        <f>YEAR(Table1[[#This Row],[Starting Date]])</f>
        <v>2018</v>
      </c>
    </row>
    <row r="40" spans="1:10" x14ac:dyDescent="0.3">
      <c r="A40" t="s">
        <v>108</v>
      </c>
      <c r="B40" t="s">
        <v>109</v>
      </c>
      <c r="C40" s="1">
        <v>36248957.840000004</v>
      </c>
      <c r="D40" t="s">
        <v>100</v>
      </c>
      <c r="E40" s="2">
        <v>43383</v>
      </c>
      <c r="F40" t="s">
        <v>18</v>
      </c>
      <c r="G40" t="s">
        <v>29</v>
      </c>
      <c r="H40" t="s">
        <v>14</v>
      </c>
      <c r="I40" t="s">
        <v>30</v>
      </c>
      <c r="J40">
        <f>YEAR(Table1[[#This Row],[Starting Date]])</f>
        <v>2018</v>
      </c>
    </row>
    <row r="41" spans="1:10" x14ac:dyDescent="0.3">
      <c r="A41" t="s">
        <v>110</v>
      </c>
      <c r="B41" t="s">
        <v>111</v>
      </c>
      <c r="C41" s="1">
        <v>3541603.21</v>
      </c>
      <c r="D41" t="s">
        <v>112</v>
      </c>
      <c r="E41" s="2">
        <v>43301</v>
      </c>
      <c r="F41" t="s">
        <v>18</v>
      </c>
      <c r="G41" t="s">
        <v>29</v>
      </c>
      <c r="H41" t="s">
        <v>14</v>
      </c>
      <c r="I41" t="s">
        <v>30</v>
      </c>
      <c r="J41">
        <f>YEAR(Table1[[#This Row],[Starting Date]])</f>
        <v>2018</v>
      </c>
    </row>
    <row r="42" spans="1:10" x14ac:dyDescent="0.3">
      <c r="A42" t="s">
        <v>113</v>
      </c>
      <c r="B42" t="s">
        <v>111</v>
      </c>
      <c r="C42" s="1">
        <v>10874687.35</v>
      </c>
      <c r="D42" t="s">
        <v>112</v>
      </c>
      <c r="E42" s="2">
        <v>43301</v>
      </c>
      <c r="F42" t="s">
        <v>18</v>
      </c>
      <c r="G42" t="s">
        <v>29</v>
      </c>
      <c r="H42" t="s">
        <v>14</v>
      </c>
      <c r="I42" t="s">
        <v>8</v>
      </c>
      <c r="J42">
        <f>YEAR(Table1[[#This Row],[Starting Date]])</f>
        <v>2018</v>
      </c>
    </row>
    <row r="43" spans="1:10" x14ac:dyDescent="0.3">
      <c r="A43" t="s">
        <v>114</v>
      </c>
      <c r="B43" t="s">
        <v>115</v>
      </c>
      <c r="C43" s="1">
        <v>83957416.799999997</v>
      </c>
      <c r="D43" t="s">
        <v>52</v>
      </c>
      <c r="E43" s="2">
        <v>43278</v>
      </c>
      <c r="F43" t="s">
        <v>18</v>
      </c>
      <c r="G43" t="s">
        <v>29</v>
      </c>
      <c r="H43" t="s">
        <v>14</v>
      </c>
      <c r="I43" t="s">
        <v>30</v>
      </c>
      <c r="J43">
        <f>YEAR(Table1[[#This Row],[Starting Date]])</f>
        <v>2018</v>
      </c>
    </row>
    <row r="44" spans="1:10" x14ac:dyDescent="0.3">
      <c r="A44" t="s">
        <v>116</v>
      </c>
      <c r="B44" t="s">
        <v>117</v>
      </c>
      <c r="C44" s="1">
        <v>21632728.469999999</v>
      </c>
      <c r="D44" t="s">
        <v>118</v>
      </c>
      <c r="E44" s="2">
        <v>43166</v>
      </c>
      <c r="F44" t="s">
        <v>119</v>
      </c>
      <c r="G44" t="s">
        <v>29</v>
      </c>
      <c r="H44" t="s">
        <v>14</v>
      </c>
      <c r="I44" t="s">
        <v>30</v>
      </c>
      <c r="J44">
        <f>YEAR(Table1[[#This Row],[Starting Date]])</f>
        <v>2018</v>
      </c>
    </row>
    <row r="45" spans="1:10" x14ac:dyDescent="0.3">
      <c r="A45" t="s">
        <v>120</v>
      </c>
      <c r="B45" t="s">
        <v>121</v>
      </c>
      <c r="C45" s="1">
        <v>5682902.1799999997</v>
      </c>
      <c r="D45" t="s">
        <v>17</v>
      </c>
      <c r="E45" s="2">
        <v>43131</v>
      </c>
      <c r="F45" t="s">
        <v>18</v>
      </c>
      <c r="G45" t="s">
        <v>29</v>
      </c>
      <c r="H45" t="s">
        <v>14</v>
      </c>
      <c r="I45" t="s">
        <v>30</v>
      </c>
      <c r="J45">
        <f>YEAR(Table1[[#This Row],[Starting Date]])</f>
        <v>2018</v>
      </c>
    </row>
    <row r="46" spans="1:10" x14ac:dyDescent="0.3">
      <c r="A46" t="s">
        <v>122</v>
      </c>
      <c r="B46" t="s">
        <v>123</v>
      </c>
      <c r="C46" s="1">
        <v>696235.36</v>
      </c>
      <c r="D46" t="s">
        <v>17</v>
      </c>
      <c r="E46" s="2">
        <v>43116</v>
      </c>
      <c r="F46" t="s">
        <v>18</v>
      </c>
      <c r="G46" t="s">
        <v>38</v>
      </c>
      <c r="H46" t="s">
        <v>14</v>
      </c>
      <c r="I46" t="s">
        <v>8</v>
      </c>
      <c r="J46">
        <f>YEAR(Table1[[#This Row],[Starting Date]])</f>
        <v>2018</v>
      </c>
    </row>
    <row r="47" spans="1:10" x14ac:dyDescent="0.3">
      <c r="A47" t="s">
        <v>124</v>
      </c>
      <c r="B47" t="s">
        <v>125</v>
      </c>
      <c r="C47" s="1">
        <v>3600000</v>
      </c>
      <c r="D47" t="s">
        <v>33</v>
      </c>
      <c r="E47" s="2">
        <v>43084</v>
      </c>
      <c r="F47" t="s">
        <v>18</v>
      </c>
      <c r="G47" t="s">
        <v>13</v>
      </c>
      <c r="H47" t="s">
        <v>14</v>
      </c>
      <c r="I47" t="s">
        <v>8</v>
      </c>
      <c r="J47">
        <f>YEAR(Table1[[#This Row],[Starting Date]])</f>
        <v>2017</v>
      </c>
    </row>
    <row r="48" spans="1:10" x14ac:dyDescent="0.3">
      <c r="A48" t="s">
        <v>126</v>
      </c>
      <c r="B48" t="s">
        <v>127</v>
      </c>
      <c r="C48" s="1">
        <v>70832064.260000005</v>
      </c>
      <c r="D48" t="s">
        <v>24</v>
      </c>
      <c r="E48" s="2">
        <v>43080</v>
      </c>
      <c r="F48" t="s">
        <v>18</v>
      </c>
      <c r="G48" t="s">
        <v>29</v>
      </c>
      <c r="H48" t="s">
        <v>14</v>
      </c>
      <c r="I48" t="s">
        <v>8</v>
      </c>
      <c r="J48">
        <f>YEAR(Table1[[#This Row],[Starting Date]])</f>
        <v>2017</v>
      </c>
    </row>
    <row r="49" spans="1:10" x14ac:dyDescent="0.3">
      <c r="A49" t="s">
        <v>128</v>
      </c>
      <c r="B49" t="s">
        <v>129</v>
      </c>
      <c r="C49" s="1">
        <v>370954.4</v>
      </c>
      <c r="D49" t="s">
        <v>85</v>
      </c>
      <c r="E49" s="2">
        <v>43077</v>
      </c>
      <c r="F49" t="s">
        <v>18</v>
      </c>
      <c r="G49" t="s">
        <v>130</v>
      </c>
      <c r="H49" t="s">
        <v>14</v>
      </c>
      <c r="I49" t="s">
        <v>8</v>
      </c>
      <c r="J49">
        <f>YEAR(Table1[[#This Row],[Starting Date]])</f>
        <v>2017</v>
      </c>
    </row>
    <row r="50" spans="1:10" x14ac:dyDescent="0.3">
      <c r="A50" t="s">
        <v>131</v>
      </c>
      <c r="B50" t="s">
        <v>132</v>
      </c>
      <c r="C50" s="1">
        <v>39890858.609999999</v>
      </c>
      <c r="D50" t="s">
        <v>17</v>
      </c>
      <c r="E50" s="2">
        <v>43063</v>
      </c>
      <c r="F50" t="s">
        <v>18</v>
      </c>
      <c r="G50" t="s">
        <v>29</v>
      </c>
      <c r="H50" t="s">
        <v>14</v>
      </c>
      <c r="I50" t="s">
        <v>30</v>
      </c>
      <c r="J50">
        <f>YEAR(Table1[[#This Row],[Starting Date]])</f>
        <v>2017</v>
      </c>
    </row>
    <row r="51" spans="1:10" x14ac:dyDescent="0.3">
      <c r="A51" t="s">
        <v>133</v>
      </c>
      <c r="B51" t="s">
        <v>134</v>
      </c>
      <c r="C51" s="1">
        <v>10115899.300000001</v>
      </c>
      <c r="D51" t="s">
        <v>135</v>
      </c>
      <c r="E51" s="2">
        <v>43047</v>
      </c>
      <c r="F51" t="s">
        <v>18</v>
      </c>
      <c r="G51" t="s">
        <v>29</v>
      </c>
      <c r="H51" t="s">
        <v>14</v>
      </c>
      <c r="I51" t="s">
        <v>8</v>
      </c>
      <c r="J51">
        <f>YEAR(Table1[[#This Row],[Starting Date]])</f>
        <v>2017</v>
      </c>
    </row>
    <row r="52" spans="1:10" x14ac:dyDescent="0.3">
      <c r="A52" t="s">
        <v>136</v>
      </c>
      <c r="B52" t="s">
        <v>137</v>
      </c>
      <c r="C52" s="1">
        <v>70832064.260000005</v>
      </c>
      <c r="D52" t="s">
        <v>49</v>
      </c>
      <c r="E52" s="2">
        <v>43033</v>
      </c>
      <c r="F52" t="s">
        <v>18</v>
      </c>
      <c r="G52" t="s">
        <v>29</v>
      </c>
      <c r="H52" t="s">
        <v>14</v>
      </c>
      <c r="I52" t="s">
        <v>30</v>
      </c>
      <c r="J52">
        <f>YEAR(Table1[[#This Row],[Starting Date]])</f>
        <v>2017</v>
      </c>
    </row>
    <row r="53" spans="1:10" x14ac:dyDescent="0.3">
      <c r="A53" t="s">
        <v>138</v>
      </c>
      <c r="B53" t="s">
        <v>139</v>
      </c>
      <c r="C53" s="1">
        <v>127376170.38</v>
      </c>
      <c r="D53" t="s">
        <v>140</v>
      </c>
      <c r="E53" s="2">
        <v>43005</v>
      </c>
      <c r="F53" t="s">
        <v>18</v>
      </c>
      <c r="G53" t="s">
        <v>29</v>
      </c>
      <c r="H53" t="s">
        <v>14</v>
      </c>
      <c r="I53" t="s">
        <v>30</v>
      </c>
      <c r="J53">
        <f>YEAR(Table1[[#This Row],[Starting Date]])</f>
        <v>2017</v>
      </c>
    </row>
    <row r="54" spans="1:10" ht="28.8" x14ac:dyDescent="0.3">
      <c r="A54" t="s">
        <v>141</v>
      </c>
      <c r="B54" s="3" t="s">
        <v>142</v>
      </c>
      <c r="C54" s="1">
        <v>2124961.9300000002</v>
      </c>
      <c r="D54" t="s">
        <v>143</v>
      </c>
      <c r="E54" s="2">
        <v>43004</v>
      </c>
      <c r="F54" t="s">
        <v>18</v>
      </c>
      <c r="G54" t="s">
        <v>29</v>
      </c>
      <c r="H54" t="s">
        <v>14</v>
      </c>
      <c r="I54" t="s">
        <v>30</v>
      </c>
      <c r="J54">
        <f>YEAR(Table1[[#This Row],[Starting Date]])</f>
        <v>2017</v>
      </c>
    </row>
    <row r="55" spans="1:10" ht="28.8" x14ac:dyDescent="0.3">
      <c r="A55" t="s">
        <v>144</v>
      </c>
      <c r="B55" s="3" t="s">
        <v>145</v>
      </c>
      <c r="C55" s="1">
        <v>6716593.3399999999</v>
      </c>
      <c r="D55" t="s">
        <v>85</v>
      </c>
      <c r="E55" s="2">
        <v>42930</v>
      </c>
      <c r="F55" t="s">
        <v>18</v>
      </c>
      <c r="G55" t="s">
        <v>29</v>
      </c>
      <c r="H55" t="s">
        <v>14</v>
      </c>
      <c r="I55" t="s">
        <v>30</v>
      </c>
      <c r="J55">
        <f>YEAR(Table1[[#This Row],[Starting Date]])</f>
        <v>2017</v>
      </c>
    </row>
    <row r="56" spans="1:10" x14ac:dyDescent="0.3">
      <c r="A56" t="s">
        <v>146</v>
      </c>
      <c r="B56" t="s">
        <v>147</v>
      </c>
      <c r="C56" s="1">
        <v>14166412.85</v>
      </c>
      <c r="D56" t="s">
        <v>71</v>
      </c>
      <c r="E56" s="2">
        <v>42871</v>
      </c>
      <c r="F56" t="s">
        <v>18</v>
      </c>
      <c r="G56" t="s">
        <v>29</v>
      </c>
      <c r="H56" t="s">
        <v>14</v>
      </c>
      <c r="I56" t="s">
        <v>30</v>
      </c>
      <c r="J56">
        <f>YEAR(Table1[[#This Row],[Starting Date]])</f>
        <v>2017</v>
      </c>
    </row>
    <row r="57" spans="1:10" x14ac:dyDescent="0.3">
      <c r="A57" t="s">
        <v>148</v>
      </c>
      <c r="B57" t="s">
        <v>149</v>
      </c>
      <c r="C57" s="1">
        <v>9701939.5399999991</v>
      </c>
      <c r="D57" t="s">
        <v>150</v>
      </c>
      <c r="E57" s="2">
        <v>42867</v>
      </c>
      <c r="F57" t="s">
        <v>18</v>
      </c>
      <c r="G57" t="s">
        <v>29</v>
      </c>
      <c r="H57" t="s">
        <v>14</v>
      </c>
      <c r="I57" t="s">
        <v>8</v>
      </c>
      <c r="J57">
        <f>YEAR(Table1[[#This Row],[Starting Date]])</f>
        <v>2017</v>
      </c>
    </row>
    <row r="58" spans="1:10" x14ac:dyDescent="0.3">
      <c r="A58" t="s">
        <v>151</v>
      </c>
      <c r="B58" t="s">
        <v>152</v>
      </c>
      <c r="C58" s="1">
        <v>13379999.720000001</v>
      </c>
      <c r="D58" t="s">
        <v>153</v>
      </c>
      <c r="E58" s="2">
        <v>42837</v>
      </c>
      <c r="F58" t="s">
        <v>119</v>
      </c>
      <c r="G58" t="s">
        <v>13</v>
      </c>
      <c r="H58" t="s">
        <v>14</v>
      </c>
      <c r="I58" t="s">
        <v>8</v>
      </c>
      <c r="J58">
        <f>YEAR(Table1[[#This Row],[Starting Date]])</f>
        <v>2017</v>
      </c>
    </row>
    <row r="59" spans="1:10" x14ac:dyDescent="0.3">
      <c r="A59" t="s">
        <v>154</v>
      </c>
      <c r="B59" t="s">
        <v>155</v>
      </c>
      <c r="C59" s="1">
        <v>212496192.78</v>
      </c>
      <c r="D59" t="s">
        <v>17</v>
      </c>
      <c r="E59" s="2">
        <v>42823</v>
      </c>
      <c r="F59" t="s">
        <v>18</v>
      </c>
      <c r="G59" t="s">
        <v>29</v>
      </c>
      <c r="H59" t="s">
        <v>14</v>
      </c>
      <c r="I59" t="s">
        <v>30</v>
      </c>
      <c r="J59">
        <f>YEAR(Table1[[#This Row],[Starting Date]])</f>
        <v>2017</v>
      </c>
    </row>
    <row r="60" spans="1:10" x14ac:dyDescent="0.3">
      <c r="A60" t="s">
        <v>156</v>
      </c>
      <c r="B60" t="s">
        <v>157</v>
      </c>
      <c r="C60" s="1">
        <v>2400000</v>
      </c>
      <c r="D60" t="s">
        <v>63</v>
      </c>
      <c r="E60" s="2">
        <v>42809</v>
      </c>
      <c r="F60" t="s">
        <v>18</v>
      </c>
      <c r="G60" t="s">
        <v>13</v>
      </c>
      <c r="H60" t="s">
        <v>14</v>
      </c>
      <c r="I60" t="s">
        <v>8</v>
      </c>
      <c r="J60">
        <f>YEAR(Table1[[#This Row],[Starting Date]])</f>
        <v>2017</v>
      </c>
    </row>
    <row r="61" spans="1:10" x14ac:dyDescent="0.3">
      <c r="A61" t="s">
        <v>158</v>
      </c>
      <c r="B61" t="s">
        <v>159</v>
      </c>
      <c r="C61" s="1">
        <v>1500000</v>
      </c>
      <c r="D61" t="s">
        <v>160</v>
      </c>
      <c r="E61" s="2">
        <v>42769</v>
      </c>
      <c r="F61" t="s">
        <v>18</v>
      </c>
      <c r="G61" t="s">
        <v>13</v>
      </c>
      <c r="H61" t="s">
        <v>14</v>
      </c>
      <c r="I61" t="s">
        <v>8</v>
      </c>
      <c r="J61">
        <f>YEAR(Table1[[#This Row],[Starting Date]])</f>
        <v>2017</v>
      </c>
    </row>
    <row r="62" spans="1:10" x14ac:dyDescent="0.3">
      <c r="A62" t="s">
        <v>161</v>
      </c>
      <c r="B62" t="s">
        <v>162</v>
      </c>
      <c r="C62" s="1">
        <v>35416032.130000003</v>
      </c>
      <c r="D62" t="s">
        <v>49</v>
      </c>
      <c r="E62" s="2">
        <v>42760</v>
      </c>
      <c r="F62" t="s">
        <v>18</v>
      </c>
      <c r="G62" t="s">
        <v>29</v>
      </c>
      <c r="H62" t="s">
        <v>14</v>
      </c>
      <c r="I62" t="s">
        <v>30</v>
      </c>
      <c r="J62">
        <f>YEAR(Table1[[#This Row],[Starting Date]])</f>
        <v>2017</v>
      </c>
    </row>
    <row r="63" spans="1:10" x14ac:dyDescent="0.3">
      <c r="A63" t="s">
        <v>163</v>
      </c>
      <c r="B63" t="s">
        <v>162</v>
      </c>
      <c r="C63" s="1">
        <v>55997447.490000002</v>
      </c>
      <c r="D63" t="s">
        <v>49</v>
      </c>
      <c r="E63" s="2">
        <v>42760</v>
      </c>
      <c r="F63" t="s">
        <v>119</v>
      </c>
      <c r="G63" t="s">
        <v>29</v>
      </c>
      <c r="H63" t="s">
        <v>14</v>
      </c>
      <c r="I63" t="s">
        <v>30</v>
      </c>
      <c r="J63">
        <f>YEAR(Table1[[#This Row],[Starting Date]])</f>
        <v>2017</v>
      </c>
    </row>
    <row r="64" spans="1:10" x14ac:dyDescent="0.3">
      <c r="A64" t="s">
        <v>164</v>
      </c>
      <c r="B64" t="s">
        <v>165</v>
      </c>
      <c r="C64" s="1">
        <v>127497715.67</v>
      </c>
      <c r="D64" t="s">
        <v>17</v>
      </c>
      <c r="E64" s="2">
        <v>42711</v>
      </c>
      <c r="F64" t="s">
        <v>18</v>
      </c>
      <c r="G64" t="s">
        <v>29</v>
      </c>
      <c r="H64" t="s">
        <v>14</v>
      </c>
      <c r="I64" t="s">
        <v>30</v>
      </c>
      <c r="J64">
        <f>YEAR(Table1[[#This Row],[Starting Date]])</f>
        <v>2016</v>
      </c>
    </row>
    <row r="65" spans="1:10" x14ac:dyDescent="0.3">
      <c r="A65" t="s">
        <v>166</v>
      </c>
      <c r="B65" t="s">
        <v>167</v>
      </c>
      <c r="C65" s="1">
        <v>223843</v>
      </c>
      <c r="D65" t="s">
        <v>97</v>
      </c>
      <c r="E65" s="2">
        <v>42710</v>
      </c>
      <c r="F65" t="s">
        <v>18</v>
      </c>
      <c r="G65" t="s">
        <v>25</v>
      </c>
      <c r="H65" t="s">
        <v>14</v>
      </c>
      <c r="I65" t="s">
        <v>8</v>
      </c>
      <c r="J65">
        <f>YEAR(Table1[[#This Row],[Starting Date]])</f>
        <v>2016</v>
      </c>
    </row>
    <row r="66" spans="1:10" x14ac:dyDescent="0.3">
      <c r="A66" t="s">
        <v>168</v>
      </c>
      <c r="B66" t="s">
        <v>169</v>
      </c>
      <c r="C66" s="1">
        <v>31903818.379999999</v>
      </c>
      <c r="D66" t="s">
        <v>105</v>
      </c>
      <c r="E66" s="2">
        <v>42697</v>
      </c>
      <c r="F66" t="s">
        <v>18</v>
      </c>
      <c r="G66" t="s">
        <v>29</v>
      </c>
      <c r="H66" t="s">
        <v>14</v>
      </c>
      <c r="I66" t="s">
        <v>30</v>
      </c>
      <c r="J66">
        <f>YEAR(Table1[[#This Row],[Starting Date]])</f>
        <v>2016</v>
      </c>
    </row>
    <row r="67" spans="1:10" x14ac:dyDescent="0.3">
      <c r="A67" t="s">
        <v>170</v>
      </c>
      <c r="B67" t="s">
        <v>171</v>
      </c>
      <c r="C67" s="1">
        <v>53124048.189999998</v>
      </c>
      <c r="D67" t="s">
        <v>49</v>
      </c>
      <c r="E67" s="2">
        <v>42692</v>
      </c>
      <c r="F67" t="s">
        <v>18</v>
      </c>
      <c r="G67" t="s">
        <v>29</v>
      </c>
      <c r="H67" t="s">
        <v>14</v>
      </c>
      <c r="I67" t="s">
        <v>30</v>
      </c>
      <c r="J67">
        <f>YEAR(Table1[[#This Row],[Starting Date]])</f>
        <v>2016</v>
      </c>
    </row>
    <row r="68" spans="1:10" x14ac:dyDescent="0.3">
      <c r="A68" t="s">
        <v>172</v>
      </c>
      <c r="B68" t="s">
        <v>173</v>
      </c>
      <c r="C68" s="1">
        <v>50374450.079999998</v>
      </c>
      <c r="D68" t="s">
        <v>85</v>
      </c>
      <c r="E68" s="2">
        <v>42662</v>
      </c>
      <c r="F68" t="s">
        <v>18</v>
      </c>
      <c r="G68" t="s">
        <v>29</v>
      </c>
      <c r="H68" t="s">
        <v>14</v>
      </c>
      <c r="I68" t="s">
        <v>30</v>
      </c>
      <c r="J68">
        <f>YEAR(Table1[[#This Row],[Starting Date]])</f>
        <v>2016</v>
      </c>
    </row>
    <row r="69" spans="1:10" x14ac:dyDescent="0.3">
      <c r="A69" t="s">
        <v>174</v>
      </c>
      <c r="B69" t="s">
        <v>175</v>
      </c>
      <c r="C69" s="1">
        <v>396571</v>
      </c>
      <c r="D69" t="s">
        <v>43</v>
      </c>
      <c r="E69" s="2">
        <v>42654</v>
      </c>
      <c r="F69" t="s">
        <v>119</v>
      </c>
      <c r="G69" t="s">
        <v>25</v>
      </c>
      <c r="H69" t="s">
        <v>14</v>
      </c>
      <c r="I69" t="s">
        <v>8</v>
      </c>
      <c r="J69">
        <f>YEAR(Table1[[#This Row],[Starting Date]])</f>
        <v>2016</v>
      </c>
    </row>
    <row r="70" spans="1:10" ht="43.2" x14ac:dyDescent="0.3">
      <c r="A70" t="s">
        <v>176</v>
      </c>
      <c r="B70" s="3" t="s">
        <v>177</v>
      </c>
      <c r="C70" s="1">
        <v>4600000</v>
      </c>
      <c r="D70" t="s">
        <v>17</v>
      </c>
      <c r="E70" s="2">
        <v>42634</v>
      </c>
      <c r="F70" t="s">
        <v>18</v>
      </c>
      <c r="G70" t="s">
        <v>13</v>
      </c>
      <c r="H70" t="s">
        <v>14</v>
      </c>
      <c r="I70" t="s">
        <v>8</v>
      </c>
      <c r="J70">
        <f>YEAR(Table1[[#This Row],[Starting Date]])</f>
        <v>2016</v>
      </c>
    </row>
    <row r="71" spans="1:10" x14ac:dyDescent="0.3">
      <c r="A71" t="s">
        <v>178</v>
      </c>
      <c r="B71" t="s">
        <v>179</v>
      </c>
      <c r="C71" s="1">
        <v>224743538.62</v>
      </c>
      <c r="D71" t="s">
        <v>17</v>
      </c>
      <c r="E71" s="2">
        <v>42634</v>
      </c>
      <c r="F71" t="s">
        <v>119</v>
      </c>
      <c r="G71" t="s">
        <v>29</v>
      </c>
      <c r="H71" t="s">
        <v>14</v>
      </c>
      <c r="I71" t="s">
        <v>30</v>
      </c>
      <c r="J71">
        <f>YEAR(Table1[[#This Row],[Starting Date]])</f>
        <v>2016</v>
      </c>
    </row>
    <row r="72" spans="1:10" x14ac:dyDescent="0.3">
      <c r="A72" t="s">
        <v>180</v>
      </c>
      <c r="B72" t="s">
        <v>181</v>
      </c>
      <c r="C72" s="1">
        <v>26626516.129999999</v>
      </c>
      <c r="D72" t="s">
        <v>135</v>
      </c>
      <c r="E72" s="2">
        <v>42634</v>
      </c>
      <c r="F72" t="s">
        <v>18</v>
      </c>
      <c r="G72" t="s">
        <v>29</v>
      </c>
      <c r="H72" t="s">
        <v>14</v>
      </c>
      <c r="I72" t="s">
        <v>8</v>
      </c>
      <c r="J72">
        <f>YEAR(Table1[[#This Row],[Starting Date]])</f>
        <v>2016</v>
      </c>
    </row>
    <row r="73" spans="1:10" x14ac:dyDescent="0.3">
      <c r="A73" t="s">
        <v>182</v>
      </c>
      <c r="B73" t="s">
        <v>183</v>
      </c>
      <c r="C73" s="1">
        <v>1152173</v>
      </c>
      <c r="D73" t="s">
        <v>184</v>
      </c>
      <c r="E73" s="2">
        <v>42604</v>
      </c>
      <c r="F73" t="s">
        <v>18</v>
      </c>
      <c r="G73" t="s">
        <v>19</v>
      </c>
      <c r="H73" t="s">
        <v>14</v>
      </c>
      <c r="I73" t="s">
        <v>8</v>
      </c>
      <c r="J73">
        <f>YEAR(Table1[[#This Row],[Starting Date]])</f>
        <v>2016</v>
      </c>
    </row>
    <row r="74" spans="1:10" x14ac:dyDescent="0.3">
      <c r="A74" t="s">
        <v>185</v>
      </c>
      <c r="B74" t="s">
        <v>186</v>
      </c>
      <c r="C74" s="1">
        <v>111539745.8</v>
      </c>
      <c r="D74" t="s">
        <v>52</v>
      </c>
      <c r="E74" s="2">
        <v>42564</v>
      </c>
      <c r="F74" t="s">
        <v>119</v>
      </c>
      <c r="G74" t="s">
        <v>29</v>
      </c>
      <c r="H74" t="s">
        <v>14</v>
      </c>
      <c r="I74" t="s">
        <v>8</v>
      </c>
      <c r="J74">
        <f>YEAR(Table1[[#This Row],[Starting Date]])</f>
        <v>2016</v>
      </c>
    </row>
    <row r="75" spans="1:10" x14ac:dyDescent="0.3">
      <c r="A75" t="s">
        <v>187</v>
      </c>
      <c r="B75" t="s">
        <v>188</v>
      </c>
      <c r="C75" s="1">
        <v>212879191.06</v>
      </c>
      <c r="D75" t="s">
        <v>85</v>
      </c>
      <c r="E75" s="2">
        <v>42564</v>
      </c>
      <c r="F75" t="s">
        <v>189</v>
      </c>
      <c r="G75" t="s">
        <v>29</v>
      </c>
      <c r="H75" t="s">
        <v>14</v>
      </c>
      <c r="I75" t="s">
        <v>8</v>
      </c>
      <c r="J75">
        <f>YEAR(Table1[[#This Row],[Starting Date]])</f>
        <v>2016</v>
      </c>
    </row>
    <row r="76" spans="1:10" x14ac:dyDescent="0.3">
      <c r="A76" t="s">
        <v>190</v>
      </c>
      <c r="B76" t="s">
        <v>191</v>
      </c>
      <c r="C76" s="1">
        <v>141664128.52000001</v>
      </c>
      <c r="D76" t="s">
        <v>100</v>
      </c>
      <c r="E76" s="2">
        <v>42548</v>
      </c>
      <c r="F76" t="s">
        <v>18</v>
      </c>
      <c r="G76" t="s">
        <v>29</v>
      </c>
      <c r="H76" t="s">
        <v>14</v>
      </c>
      <c r="I76" t="s">
        <v>30</v>
      </c>
      <c r="J76">
        <f>YEAR(Table1[[#This Row],[Starting Date]])</f>
        <v>2016</v>
      </c>
    </row>
    <row r="77" spans="1:10" x14ac:dyDescent="0.3">
      <c r="A77" t="s">
        <v>192</v>
      </c>
      <c r="B77" t="s">
        <v>193</v>
      </c>
      <c r="C77" s="1">
        <v>36248957.840000004</v>
      </c>
      <c r="D77" t="s">
        <v>100</v>
      </c>
      <c r="E77" s="2">
        <v>42548</v>
      </c>
      <c r="F77" t="s">
        <v>119</v>
      </c>
      <c r="G77" t="s">
        <v>29</v>
      </c>
      <c r="H77" t="s">
        <v>14</v>
      </c>
      <c r="I77" t="s">
        <v>30</v>
      </c>
      <c r="J77">
        <f>YEAR(Table1[[#This Row],[Starting Date]])</f>
        <v>2016</v>
      </c>
    </row>
    <row r="78" spans="1:10" x14ac:dyDescent="0.3">
      <c r="A78" t="s">
        <v>194</v>
      </c>
      <c r="B78" t="s">
        <v>195</v>
      </c>
      <c r="C78" s="1">
        <v>7083206.4299999997</v>
      </c>
      <c r="D78" t="s">
        <v>33</v>
      </c>
      <c r="E78" s="2">
        <v>42536</v>
      </c>
      <c r="F78" t="s">
        <v>18</v>
      </c>
      <c r="G78" t="s">
        <v>29</v>
      </c>
      <c r="H78" t="s">
        <v>14</v>
      </c>
      <c r="I78" t="s">
        <v>30</v>
      </c>
      <c r="J78">
        <f>YEAR(Table1[[#This Row],[Starting Date]])</f>
        <v>2016</v>
      </c>
    </row>
    <row r="79" spans="1:10" x14ac:dyDescent="0.3">
      <c r="A79" t="s">
        <v>196</v>
      </c>
      <c r="B79" t="s">
        <v>197</v>
      </c>
      <c r="C79" s="1">
        <v>106248096.39</v>
      </c>
      <c r="D79" t="s">
        <v>100</v>
      </c>
      <c r="E79" s="2">
        <v>42529</v>
      </c>
      <c r="F79" t="s">
        <v>18</v>
      </c>
      <c r="G79" t="s">
        <v>29</v>
      </c>
      <c r="H79" t="s">
        <v>14</v>
      </c>
      <c r="I79" t="s">
        <v>30</v>
      </c>
      <c r="J79">
        <f>YEAR(Table1[[#This Row],[Starting Date]])</f>
        <v>2016</v>
      </c>
    </row>
    <row r="80" spans="1:10" x14ac:dyDescent="0.3">
      <c r="A80" t="s">
        <v>198</v>
      </c>
      <c r="B80" t="s">
        <v>199</v>
      </c>
      <c r="C80" s="1">
        <v>4958244.5</v>
      </c>
      <c r="D80" t="s">
        <v>33</v>
      </c>
      <c r="E80" s="2">
        <v>42510</v>
      </c>
      <c r="F80" t="s">
        <v>18</v>
      </c>
      <c r="G80" t="s">
        <v>29</v>
      </c>
      <c r="H80" t="s">
        <v>14</v>
      </c>
      <c r="I80" t="s">
        <v>30</v>
      </c>
      <c r="J80">
        <f>YEAR(Table1[[#This Row],[Starting Date]])</f>
        <v>2016</v>
      </c>
    </row>
    <row r="81" spans="1:10" x14ac:dyDescent="0.3">
      <c r="A81" t="s">
        <v>200</v>
      </c>
      <c r="B81" t="s">
        <v>201</v>
      </c>
      <c r="C81" s="1">
        <v>63748857.829999998</v>
      </c>
      <c r="D81" t="s">
        <v>202</v>
      </c>
      <c r="E81" s="2">
        <v>42508</v>
      </c>
      <c r="F81" t="s">
        <v>18</v>
      </c>
      <c r="G81" t="s">
        <v>29</v>
      </c>
      <c r="H81" t="s">
        <v>14</v>
      </c>
      <c r="I81" t="s">
        <v>30</v>
      </c>
      <c r="J81">
        <f>YEAR(Table1[[#This Row],[Starting Date]])</f>
        <v>2016</v>
      </c>
    </row>
    <row r="82" spans="1:10" x14ac:dyDescent="0.3">
      <c r="A82" t="s">
        <v>203</v>
      </c>
      <c r="B82" t="s">
        <v>204</v>
      </c>
      <c r="C82" s="1">
        <v>2080000</v>
      </c>
      <c r="D82" t="s">
        <v>205</v>
      </c>
      <c r="E82" s="2">
        <v>42494</v>
      </c>
      <c r="F82" t="s">
        <v>119</v>
      </c>
      <c r="G82" t="s">
        <v>19</v>
      </c>
      <c r="H82" t="s">
        <v>14</v>
      </c>
      <c r="I82" t="s">
        <v>8</v>
      </c>
      <c r="J82">
        <f>YEAR(Table1[[#This Row],[Starting Date]])</f>
        <v>2016</v>
      </c>
    </row>
    <row r="83" spans="1:10" x14ac:dyDescent="0.3">
      <c r="A83" t="s">
        <v>206</v>
      </c>
      <c r="B83" t="s">
        <v>207</v>
      </c>
      <c r="C83" s="1">
        <v>17708016.059999999</v>
      </c>
      <c r="D83" t="s">
        <v>205</v>
      </c>
      <c r="E83" s="2">
        <v>42480</v>
      </c>
      <c r="F83" t="s">
        <v>18</v>
      </c>
      <c r="G83" t="s">
        <v>29</v>
      </c>
      <c r="H83" t="s">
        <v>14</v>
      </c>
      <c r="I83" t="s">
        <v>30</v>
      </c>
      <c r="J83">
        <f>YEAR(Table1[[#This Row],[Starting Date]])</f>
        <v>2016</v>
      </c>
    </row>
    <row r="84" spans="1:10" x14ac:dyDescent="0.3">
      <c r="A84" t="s">
        <v>208</v>
      </c>
      <c r="B84" t="s">
        <v>209</v>
      </c>
      <c r="C84" s="1">
        <v>83957416.799999997</v>
      </c>
      <c r="D84" t="s">
        <v>17</v>
      </c>
      <c r="E84" s="2">
        <v>42452</v>
      </c>
      <c r="F84" t="s">
        <v>18</v>
      </c>
      <c r="G84" t="s">
        <v>29</v>
      </c>
      <c r="H84" t="s">
        <v>14</v>
      </c>
      <c r="I84" t="s">
        <v>30</v>
      </c>
      <c r="J84">
        <f>YEAR(Table1[[#This Row],[Starting Date]])</f>
        <v>2016</v>
      </c>
    </row>
    <row r="85" spans="1:10" x14ac:dyDescent="0.3">
      <c r="A85" t="s">
        <v>210</v>
      </c>
      <c r="B85" t="s">
        <v>209</v>
      </c>
      <c r="C85" s="1">
        <v>33582966.719999999</v>
      </c>
      <c r="D85" t="s">
        <v>17</v>
      </c>
      <c r="E85" s="2">
        <v>42452</v>
      </c>
      <c r="F85" t="s">
        <v>18</v>
      </c>
      <c r="G85" t="s">
        <v>29</v>
      </c>
      <c r="H85" t="s">
        <v>14</v>
      </c>
      <c r="I85" t="s">
        <v>30</v>
      </c>
      <c r="J85">
        <f>YEAR(Table1[[#This Row],[Starting Date]])</f>
        <v>2016</v>
      </c>
    </row>
    <row r="86" spans="1:10" x14ac:dyDescent="0.3">
      <c r="A86" t="s">
        <v>211</v>
      </c>
      <c r="B86" t="s">
        <v>212</v>
      </c>
      <c r="C86" s="1">
        <v>10624809.640000001</v>
      </c>
      <c r="D86" t="s">
        <v>100</v>
      </c>
      <c r="E86" s="2">
        <v>42438</v>
      </c>
      <c r="F86" t="s">
        <v>18</v>
      </c>
      <c r="G86" t="s">
        <v>29</v>
      </c>
      <c r="H86" t="s">
        <v>14</v>
      </c>
      <c r="I86" t="s">
        <v>30</v>
      </c>
      <c r="J86">
        <f>YEAR(Table1[[#This Row],[Starting Date]])</f>
        <v>2016</v>
      </c>
    </row>
    <row r="87" spans="1:10" x14ac:dyDescent="0.3">
      <c r="A87" t="s">
        <v>213</v>
      </c>
      <c r="B87" t="s">
        <v>214</v>
      </c>
      <c r="C87" s="1">
        <v>215705.97</v>
      </c>
      <c r="D87" t="s">
        <v>17</v>
      </c>
      <c r="E87" s="2">
        <v>42416</v>
      </c>
      <c r="F87" t="s">
        <v>119</v>
      </c>
      <c r="G87" t="s">
        <v>38</v>
      </c>
      <c r="H87" t="s">
        <v>14</v>
      </c>
      <c r="I87" t="s">
        <v>8</v>
      </c>
      <c r="J87">
        <f>YEAR(Table1[[#This Row],[Starting Date]])</f>
        <v>2016</v>
      </c>
    </row>
    <row r="88" spans="1:10" x14ac:dyDescent="0.3">
      <c r="A88" t="s">
        <v>215</v>
      </c>
      <c r="B88" t="s">
        <v>216</v>
      </c>
      <c r="C88" s="1">
        <v>84998477.109999999</v>
      </c>
      <c r="D88" t="s">
        <v>28</v>
      </c>
      <c r="E88" s="2">
        <v>42298</v>
      </c>
      <c r="F88" t="s">
        <v>18</v>
      </c>
      <c r="G88" t="s">
        <v>29</v>
      </c>
      <c r="H88" t="s">
        <v>14</v>
      </c>
      <c r="I88" t="s">
        <v>8</v>
      </c>
      <c r="J88">
        <f>YEAR(Table1[[#This Row],[Starting Date]])</f>
        <v>2015</v>
      </c>
    </row>
    <row r="89" spans="1:10" x14ac:dyDescent="0.3">
      <c r="A89" t="s">
        <v>217</v>
      </c>
      <c r="B89" t="s">
        <v>218</v>
      </c>
      <c r="C89" s="1">
        <v>10374233.17</v>
      </c>
      <c r="D89" t="s">
        <v>219</v>
      </c>
      <c r="E89" s="2">
        <v>42291</v>
      </c>
      <c r="F89" t="s">
        <v>18</v>
      </c>
      <c r="G89" t="s">
        <v>29</v>
      </c>
      <c r="H89" t="s">
        <v>14</v>
      </c>
      <c r="I89" t="s">
        <v>30</v>
      </c>
      <c r="J89">
        <f>YEAR(Table1[[#This Row],[Starting Date]])</f>
        <v>2015</v>
      </c>
    </row>
    <row r="90" spans="1:10" x14ac:dyDescent="0.3">
      <c r="A90" t="s">
        <v>220</v>
      </c>
      <c r="B90" t="s">
        <v>221</v>
      </c>
      <c r="C90" s="1">
        <v>4970000</v>
      </c>
      <c r="D90" t="s">
        <v>17</v>
      </c>
      <c r="E90" s="2">
        <v>42270</v>
      </c>
      <c r="F90" t="s">
        <v>119</v>
      </c>
      <c r="G90" t="s">
        <v>13</v>
      </c>
      <c r="H90" t="s">
        <v>14</v>
      </c>
      <c r="I90" t="s">
        <v>8</v>
      </c>
      <c r="J90">
        <f>YEAR(Table1[[#This Row],[Starting Date]])</f>
        <v>2015</v>
      </c>
    </row>
    <row r="91" spans="1:10" x14ac:dyDescent="0.3">
      <c r="A91" t="s">
        <v>222</v>
      </c>
      <c r="B91" t="s">
        <v>223</v>
      </c>
      <c r="C91" s="1">
        <v>9930000</v>
      </c>
      <c r="D91" t="s">
        <v>17</v>
      </c>
      <c r="E91" s="2">
        <v>42270</v>
      </c>
      <c r="F91" t="s">
        <v>119</v>
      </c>
      <c r="G91" t="s">
        <v>13</v>
      </c>
      <c r="H91" t="s">
        <v>14</v>
      </c>
      <c r="I91" t="s">
        <v>8</v>
      </c>
      <c r="J91">
        <f>YEAR(Table1[[#This Row],[Starting Date]])</f>
        <v>2015</v>
      </c>
    </row>
    <row r="92" spans="1:10" x14ac:dyDescent="0.3">
      <c r="A92" t="s">
        <v>224</v>
      </c>
      <c r="B92" t="s">
        <v>225</v>
      </c>
      <c r="C92" s="1">
        <v>4970000</v>
      </c>
      <c r="D92" t="s">
        <v>17</v>
      </c>
      <c r="E92" s="2">
        <v>42270</v>
      </c>
      <c r="F92" t="s">
        <v>119</v>
      </c>
      <c r="G92" t="s">
        <v>13</v>
      </c>
      <c r="H92" t="s">
        <v>14</v>
      </c>
      <c r="I92" t="s">
        <v>8</v>
      </c>
      <c r="J92">
        <f>YEAR(Table1[[#This Row],[Starting Date]])</f>
        <v>2015</v>
      </c>
    </row>
    <row r="93" spans="1:10" x14ac:dyDescent="0.3">
      <c r="A93" t="s">
        <v>226</v>
      </c>
      <c r="B93" t="s">
        <v>227</v>
      </c>
      <c r="C93" s="1">
        <v>891595</v>
      </c>
      <c r="D93" t="s">
        <v>43</v>
      </c>
      <c r="E93" s="2">
        <v>42195</v>
      </c>
      <c r="F93" t="s">
        <v>119</v>
      </c>
      <c r="G93" t="s">
        <v>25</v>
      </c>
      <c r="H93" t="s">
        <v>14</v>
      </c>
      <c r="I93" t="s">
        <v>8</v>
      </c>
      <c r="J93">
        <f>YEAR(Table1[[#This Row],[Starting Date]])</f>
        <v>2015</v>
      </c>
    </row>
    <row r="94" spans="1:10" x14ac:dyDescent="0.3">
      <c r="A94" t="s">
        <v>228</v>
      </c>
      <c r="B94" t="s">
        <v>229</v>
      </c>
      <c r="C94" s="1">
        <v>189797338.62</v>
      </c>
      <c r="D94" t="s">
        <v>230</v>
      </c>
      <c r="E94" s="2">
        <v>42194</v>
      </c>
      <c r="F94" t="s">
        <v>18</v>
      </c>
      <c r="G94" t="s">
        <v>29</v>
      </c>
      <c r="H94" t="s">
        <v>14</v>
      </c>
      <c r="I94" t="s">
        <v>8</v>
      </c>
      <c r="J94">
        <f>YEAR(Table1[[#This Row],[Starting Date]])</f>
        <v>2015</v>
      </c>
    </row>
    <row r="95" spans="1:10" x14ac:dyDescent="0.3">
      <c r="A95" t="s">
        <v>231</v>
      </c>
      <c r="B95" t="s">
        <v>232</v>
      </c>
      <c r="C95" s="1">
        <v>82757707.5</v>
      </c>
      <c r="D95" t="s">
        <v>52</v>
      </c>
      <c r="E95" s="2">
        <v>42193</v>
      </c>
      <c r="F95" t="s">
        <v>119</v>
      </c>
      <c r="G95" t="s">
        <v>29</v>
      </c>
      <c r="H95" t="s">
        <v>14</v>
      </c>
      <c r="I95" t="s">
        <v>8</v>
      </c>
      <c r="J95">
        <f>YEAR(Table1[[#This Row],[Starting Date]])</f>
        <v>2015</v>
      </c>
    </row>
    <row r="96" spans="1:10" x14ac:dyDescent="0.3">
      <c r="A96" t="s">
        <v>233</v>
      </c>
      <c r="B96" t="s">
        <v>234</v>
      </c>
      <c r="C96" s="1">
        <v>503416</v>
      </c>
      <c r="D96" t="s">
        <v>235</v>
      </c>
      <c r="E96" s="2">
        <v>42193</v>
      </c>
      <c r="F96" t="s">
        <v>119</v>
      </c>
      <c r="G96" t="s">
        <v>25</v>
      </c>
      <c r="H96" t="s">
        <v>14</v>
      </c>
      <c r="I96" t="s">
        <v>8</v>
      </c>
      <c r="J96">
        <f>YEAR(Table1[[#This Row],[Starting Date]])</f>
        <v>2015</v>
      </c>
    </row>
    <row r="97" spans="1:10" ht="28.8" x14ac:dyDescent="0.3">
      <c r="A97" t="s">
        <v>236</v>
      </c>
      <c r="B97" s="3" t="s">
        <v>237</v>
      </c>
      <c r="C97" s="1">
        <v>4401053.32</v>
      </c>
      <c r="D97" t="s">
        <v>71</v>
      </c>
      <c r="E97" s="2">
        <v>42170</v>
      </c>
      <c r="F97" t="s">
        <v>18</v>
      </c>
      <c r="G97" t="s">
        <v>29</v>
      </c>
      <c r="H97" t="s">
        <v>14</v>
      </c>
      <c r="I97" t="s">
        <v>30</v>
      </c>
      <c r="J97">
        <f>YEAR(Table1[[#This Row],[Starting Date]])</f>
        <v>2015</v>
      </c>
    </row>
    <row r="98" spans="1:10" x14ac:dyDescent="0.3">
      <c r="A98" t="s">
        <v>238</v>
      </c>
      <c r="B98" t="s">
        <v>239</v>
      </c>
      <c r="C98" s="1">
        <v>146010.31</v>
      </c>
      <c r="D98" t="s">
        <v>100</v>
      </c>
      <c r="E98" s="2">
        <v>42165</v>
      </c>
      <c r="F98" t="s">
        <v>119</v>
      </c>
      <c r="G98" t="s">
        <v>25</v>
      </c>
      <c r="H98" t="s">
        <v>14</v>
      </c>
      <c r="I98" t="s">
        <v>8</v>
      </c>
      <c r="J98">
        <f>YEAR(Table1[[#This Row],[Starting Date]])</f>
        <v>2015</v>
      </c>
    </row>
    <row r="99" spans="1:10" x14ac:dyDescent="0.3">
      <c r="A99" t="s">
        <v>240</v>
      </c>
      <c r="B99" t="s">
        <v>241</v>
      </c>
      <c r="C99" s="1">
        <v>226919.54</v>
      </c>
      <c r="D99" t="s">
        <v>242</v>
      </c>
      <c r="E99" s="2">
        <v>42030</v>
      </c>
      <c r="F99" t="s">
        <v>119</v>
      </c>
      <c r="G99" t="s">
        <v>38</v>
      </c>
      <c r="H99" t="s">
        <v>14</v>
      </c>
      <c r="I99" t="s">
        <v>8</v>
      </c>
      <c r="J99">
        <f>YEAR(Table1[[#This Row],[Starting Date]])</f>
        <v>2015</v>
      </c>
    </row>
    <row r="100" spans="1:10" x14ac:dyDescent="0.3">
      <c r="A100" t="s">
        <v>243</v>
      </c>
      <c r="B100" t="s">
        <v>244</v>
      </c>
      <c r="C100" s="1">
        <v>327432.43</v>
      </c>
      <c r="D100" t="s">
        <v>245</v>
      </c>
      <c r="E100" s="2">
        <v>42030</v>
      </c>
      <c r="F100" t="s">
        <v>119</v>
      </c>
      <c r="G100" t="s">
        <v>38</v>
      </c>
      <c r="H100" t="s">
        <v>14</v>
      </c>
      <c r="I100" t="s">
        <v>8</v>
      </c>
      <c r="J100">
        <f>YEAR(Table1[[#This Row],[Starting Date]])</f>
        <v>2015</v>
      </c>
    </row>
    <row r="101" spans="1:10" x14ac:dyDescent="0.3">
      <c r="A101" t="s">
        <v>246</v>
      </c>
      <c r="B101" t="s">
        <v>247</v>
      </c>
      <c r="C101" s="1">
        <v>682604</v>
      </c>
      <c r="D101" t="s">
        <v>248</v>
      </c>
      <c r="E101" s="2">
        <v>41989</v>
      </c>
      <c r="F101" t="s">
        <v>119</v>
      </c>
      <c r="G101" t="s">
        <v>38</v>
      </c>
      <c r="H101" t="s">
        <v>14</v>
      </c>
      <c r="I101" t="s">
        <v>8</v>
      </c>
      <c r="J101">
        <f>YEAR(Table1[[#This Row],[Starting Date]])</f>
        <v>2014</v>
      </c>
    </row>
    <row r="102" spans="1:10" x14ac:dyDescent="0.3">
      <c r="A102" t="s">
        <v>249</v>
      </c>
      <c r="B102" t="s">
        <v>250</v>
      </c>
      <c r="C102" s="1">
        <v>315972452.95999998</v>
      </c>
      <c r="D102" t="s">
        <v>100</v>
      </c>
      <c r="E102" s="2">
        <v>41988</v>
      </c>
      <c r="F102" t="s">
        <v>18</v>
      </c>
      <c r="G102" t="s">
        <v>29</v>
      </c>
      <c r="H102" t="s">
        <v>14</v>
      </c>
      <c r="I102" t="s">
        <v>8</v>
      </c>
      <c r="J102">
        <f>YEAR(Table1[[#This Row],[Starting Date]])</f>
        <v>2014</v>
      </c>
    </row>
    <row r="103" spans="1:10" x14ac:dyDescent="0.3">
      <c r="A103" t="s">
        <v>251</v>
      </c>
      <c r="B103" t="s">
        <v>252</v>
      </c>
      <c r="C103" s="1">
        <v>189810.95</v>
      </c>
      <c r="D103" t="s">
        <v>100</v>
      </c>
      <c r="E103" s="2">
        <v>41961</v>
      </c>
      <c r="F103" t="s">
        <v>119</v>
      </c>
      <c r="G103" t="s">
        <v>25</v>
      </c>
      <c r="H103" t="s">
        <v>14</v>
      </c>
      <c r="I103" t="s">
        <v>8</v>
      </c>
      <c r="J103">
        <f>YEAR(Table1[[#This Row],[Starting Date]])</f>
        <v>2014</v>
      </c>
    </row>
    <row r="104" spans="1:10" x14ac:dyDescent="0.3">
      <c r="A104" t="s">
        <v>253</v>
      </c>
      <c r="B104" t="s">
        <v>254</v>
      </c>
      <c r="C104" s="1">
        <v>104831455.09999999</v>
      </c>
      <c r="D104" t="s">
        <v>49</v>
      </c>
      <c r="E104" s="2">
        <v>41948</v>
      </c>
      <c r="F104" t="s">
        <v>119</v>
      </c>
      <c r="G104" t="s">
        <v>29</v>
      </c>
      <c r="H104" t="s">
        <v>14</v>
      </c>
      <c r="I104" t="s">
        <v>30</v>
      </c>
      <c r="J104">
        <f>YEAR(Table1[[#This Row],[Starting Date]])</f>
        <v>2014</v>
      </c>
    </row>
    <row r="105" spans="1:10" x14ac:dyDescent="0.3">
      <c r="A105" t="s">
        <v>255</v>
      </c>
      <c r="B105" t="s">
        <v>256</v>
      </c>
      <c r="C105" s="1">
        <v>21249619.280000001</v>
      </c>
      <c r="D105" t="s">
        <v>17</v>
      </c>
      <c r="E105" s="2">
        <v>41927</v>
      </c>
      <c r="F105" t="s">
        <v>119</v>
      </c>
      <c r="G105" t="s">
        <v>29</v>
      </c>
      <c r="H105" t="s">
        <v>14</v>
      </c>
      <c r="I105" t="s">
        <v>30</v>
      </c>
      <c r="J105">
        <f>YEAR(Table1[[#This Row],[Starting Date]])</f>
        <v>2014</v>
      </c>
    </row>
    <row r="106" spans="1:10" x14ac:dyDescent="0.3">
      <c r="A106" t="s">
        <v>257</v>
      </c>
      <c r="B106" t="s">
        <v>258</v>
      </c>
      <c r="C106" s="1">
        <v>172555.41</v>
      </c>
      <c r="D106" t="s">
        <v>17</v>
      </c>
      <c r="E106" s="2">
        <v>41915</v>
      </c>
      <c r="F106" t="s">
        <v>119</v>
      </c>
      <c r="G106" t="s">
        <v>38</v>
      </c>
      <c r="H106" t="s">
        <v>14</v>
      </c>
      <c r="I106" t="s">
        <v>8</v>
      </c>
      <c r="J106">
        <f>YEAR(Table1[[#This Row],[Starting Date]])</f>
        <v>2014</v>
      </c>
    </row>
    <row r="107" spans="1:10" x14ac:dyDescent="0.3">
      <c r="A107" t="s">
        <v>259</v>
      </c>
      <c r="B107" t="s">
        <v>260</v>
      </c>
      <c r="C107" s="1">
        <v>82867892.010000005</v>
      </c>
      <c r="D107" t="s">
        <v>52</v>
      </c>
      <c r="E107" s="2">
        <v>41913</v>
      </c>
      <c r="F107" t="s">
        <v>119</v>
      </c>
      <c r="G107" t="s">
        <v>29</v>
      </c>
      <c r="H107" t="s">
        <v>14</v>
      </c>
      <c r="I107" t="s">
        <v>8</v>
      </c>
      <c r="J107">
        <f>YEAR(Table1[[#This Row],[Starting Date]])</f>
        <v>2014</v>
      </c>
    </row>
    <row r="108" spans="1:10" x14ac:dyDescent="0.3">
      <c r="A108" t="s">
        <v>261</v>
      </c>
      <c r="B108" t="s">
        <v>262</v>
      </c>
      <c r="C108" s="1">
        <v>5630662.8200000003</v>
      </c>
      <c r="D108" t="s">
        <v>100</v>
      </c>
      <c r="E108" s="2">
        <v>41913</v>
      </c>
      <c r="F108" t="s">
        <v>119</v>
      </c>
      <c r="G108" t="s">
        <v>29</v>
      </c>
      <c r="H108" t="s">
        <v>14</v>
      </c>
      <c r="I108" t="s">
        <v>30</v>
      </c>
      <c r="J108">
        <f>YEAR(Table1[[#This Row],[Starting Date]])</f>
        <v>2014</v>
      </c>
    </row>
    <row r="109" spans="1:10" x14ac:dyDescent="0.3">
      <c r="A109" t="s">
        <v>263</v>
      </c>
      <c r="B109" t="s">
        <v>264</v>
      </c>
      <c r="C109" s="1">
        <v>1998321.41</v>
      </c>
      <c r="D109" t="s">
        <v>105</v>
      </c>
      <c r="E109" s="2">
        <v>41809</v>
      </c>
      <c r="F109" t="s">
        <v>119</v>
      </c>
      <c r="G109" t="s">
        <v>29</v>
      </c>
      <c r="H109" t="s">
        <v>14</v>
      </c>
      <c r="I109" t="s">
        <v>30</v>
      </c>
      <c r="J109">
        <f>YEAR(Table1[[#This Row],[Starting Date]])</f>
        <v>2014</v>
      </c>
    </row>
    <row r="110" spans="1:10" x14ac:dyDescent="0.3">
      <c r="A110" t="s">
        <v>265</v>
      </c>
      <c r="B110" t="s">
        <v>266</v>
      </c>
      <c r="C110" s="1">
        <v>107852371.67</v>
      </c>
      <c r="D110" t="s">
        <v>17</v>
      </c>
      <c r="E110" s="2">
        <v>41787</v>
      </c>
      <c r="F110" t="s">
        <v>18</v>
      </c>
      <c r="G110" t="s">
        <v>29</v>
      </c>
      <c r="H110" t="s">
        <v>14</v>
      </c>
      <c r="I110" t="s">
        <v>30</v>
      </c>
      <c r="J110">
        <f>YEAR(Table1[[#This Row],[Starting Date]])</f>
        <v>2014</v>
      </c>
    </row>
    <row r="111" spans="1:10" x14ac:dyDescent="0.3">
      <c r="A111" t="s">
        <v>267</v>
      </c>
      <c r="B111" t="s">
        <v>268</v>
      </c>
      <c r="C111" s="1">
        <v>70832064.260000005</v>
      </c>
      <c r="D111" t="s">
        <v>100</v>
      </c>
      <c r="E111" s="2">
        <v>41774</v>
      </c>
      <c r="F111" t="s">
        <v>18</v>
      </c>
      <c r="G111" t="s">
        <v>29</v>
      </c>
      <c r="H111" t="s">
        <v>14</v>
      </c>
      <c r="I111" t="s">
        <v>30</v>
      </c>
      <c r="J111">
        <f>YEAR(Table1[[#This Row],[Starting Date]])</f>
        <v>2014</v>
      </c>
    </row>
    <row r="112" spans="1:10" ht="28.8" x14ac:dyDescent="0.3">
      <c r="A112" t="s">
        <v>269</v>
      </c>
      <c r="B112" s="3" t="s">
        <v>270</v>
      </c>
      <c r="C112" s="1">
        <v>12789307.33</v>
      </c>
      <c r="D112" t="s">
        <v>82</v>
      </c>
      <c r="E112" s="2">
        <v>41740</v>
      </c>
      <c r="F112" t="s">
        <v>18</v>
      </c>
      <c r="G112" t="s">
        <v>29</v>
      </c>
      <c r="H112" t="s">
        <v>14</v>
      </c>
      <c r="I112" t="s">
        <v>30</v>
      </c>
      <c r="J112">
        <f>YEAR(Table1[[#This Row],[Starting Date]])</f>
        <v>2014</v>
      </c>
    </row>
    <row r="113" spans="1:10" x14ac:dyDescent="0.3">
      <c r="A113" t="s">
        <v>271</v>
      </c>
      <c r="B113" t="s">
        <v>272</v>
      </c>
      <c r="C113" s="1">
        <v>885400.8</v>
      </c>
      <c r="D113" t="s">
        <v>100</v>
      </c>
      <c r="E113" s="2">
        <v>41724</v>
      </c>
      <c r="F113" t="s">
        <v>18</v>
      </c>
      <c r="G113" t="s">
        <v>29</v>
      </c>
      <c r="H113" t="s">
        <v>14</v>
      </c>
      <c r="I113" t="s">
        <v>30</v>
      </c>
      <c r="J113">
        <f>YEAR(Table1[[#This Row],[Starting Date]])</f>
        <v>2014</v>
      </c>
    </row>
    <row r="114" spans="1:10" x14ac:dyDescent="0.3">
      <c r="A114" t="s">
        <v>273</v>
      </c>
      <c r="B114" t="s">
        <v>274</v>
      </c>
      <c r="C114" s="1">
        <v>88540080.319999993</v>
      </c>
      <c r="D114" t="s">
        <v>100</v>
      </c>
      <c r="E114" s="2">
        <v>41724</v>
      </c>
      <c r="F114" t="s">
        <v>18</v>
      </c>
      <c r="G114" t="s">
        <v>29</v>
      </c>
      <c r="H114" t="s">
        <v>14</v>
      </c>
      <c r="I114" t="s">
        <v>30</v>
      </c>
      <c r="J114">
        <f>YEAR(Table1[[#This Row],[Starting Date]])</f>
        <v>2014</v>
      </c>
    </row>
    <row r="115" spans="1:10" x14ac:dyDescent="0.3">
      <c r="A115" t="s">
        <v>275</v>
      </c>
      <c r="B115" t="s">
        <v>276</v>
      </c>
      <c r="C115" s="1">
        <v>14499583.140000001</v>
      </c>
      <c r="D115" t="s">
        <v>17</v>
      </c>
      <c r="E115" s="2">
        <v>41619</v>
      </c>
      <c r="F115" t="s">
        <v>18</v>
      </c>
      <c r="G115" t="s">
        <v>29</v>
      </c>
      <c r="H115" t="s">
        <v>14</v>
      </c>
      <c r="I115" t="s">
        <v>30</v>
      </c>
      <c r="J115">
        <f>YEAR(Table1[[#This Row],[Starting Date]])</f>
        <v>2013</v>
      </c>
    </row>
    <row r="116" spans="1:10" x14ac:dyDescent="0.3">
      <c r="A116" t="s">
        <v>277</v>
      </c>
      <c r="B116" t="s">
        <v>278</v>
      </c>
      <c r="C116" s="1">
        <v>1087358.3700000001</v>
      </c>
      <c r="D116" t="s">
        <v>135</v>
      </c>
      <c r="E116" s="2">
        <v>41568</v>
      </c>
      <c r="F116" t="s">
        <v>119</v>
      </c>
      <c r="G116" t="s">
        <v>29</v>
      </c>
      <c r="H116" t="s">
        <v>14</v>
      </c>
      <c r="I116" t="s">
        <v>30</v>
      </c>
      <c r="J116">
        <f>YEAR(Table1[[#This Row],[Starting Date]])</f>
        <v>2013</v>
      </c>
    </row>
    <row r="117" spans="1:10" x14ac:dyDescent="0.3">
      <c r="A117" t="s">
        <v>279</v>
      </c>
      <c r="B117" t="s">
        <v>280</v>
      </c>
      <c r="C117" s="1">
        <v>35416032.130000003</v>
      </c>
      <c r="D117" t="s">
        <v>17</v>
      </c>
      <c r="E117" s="2">
        <v>41549</v>
      </c>
      <c r="F117" t="s">
        <v>18</v>
      </c>
      <c r="G117" t="s">
        <v>29</v>
      </c>
      <c r="H117" t="s">
        <v>14</v>
      </c>
      <c r="I117" t="s">
        <v>30</v>
      </c>
      <c r="J117">
        <f>YEAR(Table1[[#This Row],[Starting Date]])</f>
        <v>2013</v>
      </c>
    </row>
    <row r="118" spans="1:10" x14ac:dyDescent="0.3">
      <c r="A118" t="s">
        <v>281</v>
      </c>
      <c r="B118" t="s">
        <v>282</v>
      </c>
      <c r="C118" s="1">
        <v>106248096.39</v>
      </c>
      <c r="D118" t="s">
        <v>24</v>
      </c>
      <c r="E118" s="2">
        <v>41528</v>
      </c>
      <c r="F118" t="s">
        <v>18</v>
      </c>
      <c r="G118" t="s">
        <v>29</v>
      </c>
      <c r="H118" t="s">
        <v>14</v>
      </c>
      <c r="I118" t="s">
        <v>30</v>
      </c>
      <c r="J118">
        <f>YEAR(Table1[[#This Row],[Starting Date]])</f>
        <v>2013</v>
      </c>
    </row>
    <row r="119" spans="1:10" x14ac:dyDescent="0.3">
      <c r="A119" t="s">
        <v>283</v>
      </c>
      <c r="B119" t="s">
        <v>284</v>
      </c>
      <c r="C119" s="1">
        <v>566716.73</v>
      </c>
      <c r="D119" t="s">
        <v>85</v>
      </c>
      <c r="E119" s="2">
        <v>41491</v>
      </c>
      <c r="F119" t="s">
        <v>18</v>
      </c>
      <c r="G119" t="s">
        <v>38</v>
      </c>
      <c r="H119" t="s">
        <v>14</v>
      </c>
      <c r="I119" t="s">
        <v>8</v>
      </c>
      <c r="J119">
        <f>YEAR(Table1[[#This Row],[Starting Date]])</f>
        <v>2013</v>
      </c>
    </row>
    <row r="120" spans="1:10" x14ac:dyDescent="0.3">
      <c r="A120" t="s">
        <v>285</v>
      </c>
      <c r="B120" t="s">
        <v>286</v>
      </c>
      <c r="C120" s="1">
        <v>53124048.189999998</v>
      </c>
      <c r="D120" t="s">
        <v>100</v>
      </c>
      <c r="E120" s="2">
        <v>41472</v>
      </c>
      <c r="F120" t="s">
        <v>18</v>
      </c>
      <c r="G120" t="s">
        <v>29</v>
      </c>
      <c r="H120" t="s">
        <v>14</v>
      </c>
      <c r="I120" t="s">
        <v>30</v>
      </c>
      <c r="J120">
        <f>YEAR(Table1[[#This Row],[Starting Date]])</f>
        <v>2013</v>
      </c>
    </row>
    <row r="121" spans="1:10" x14ac:dyDescent="0.3">
      <c r="A121" t="s">
        <v>287</v>
      </c>
      <c r="B121" t="s">
        <v>288</v>
      </c>
      <c r="C121" s="1">
        <v>14374115.09</v>
      </c>
      <c r="D121" t="s">
        <v>219</v>
      </c>
      <c r="E121" s="2">
        <v>41416</v>
      </c>
      <c r="F121" t="s">
        <v>119</v>
      </c>
      <c r="G121" t="s">
        <v>29</v>
      </c>
      <c r="H121" t="s">
        <v>14</v>
      </c>
      <c r="I121" t="s">
        <v>30</v>
      </c>
      <c r="J121">
        <f>YEAR(Table1[[#This Row],[Starting Date]])</f>
        <v>2013</v>
      </c>
    </row>
    <row r="122" spans="1:10" x14ac:dyDescent="0.3">
      <c r="A122" t="s">
        <v>289</v>
      </c>
      <c r="B122" t="s">
        <v>290</v>
      </c>
      <c r="C122" s="1">
        <v>594072.68000000005</v>
      </c>
      <c r="D122" t="s">
        <v>49</v>
      </c>
      <c r="E122" s="2">
        <v>41416</v>
      </c>
      <c r="F122" t="s">
        <v>18</v>
      </c>
      <c r="G122" t="s">
        <v>29</v>
      </c>
      <c r="H122" t="s">
        <v>14</v>
      </c>
      <c r="I122" t="s">
        <v>30</v>
      </c>
      <c r="J122">
        <f>YEAR(Table1[[#This Row],[Starting Date]])</f>
        <v>2013</v>
      </c>
    </row>
    <row r="123" spans="1:10" x14ac:dyDescent="0.3">
      <c r="A123" t="s">
        <v>291</v>
      </c>
      <c r="B123" t="s">
        <v>292</v>
      </c>
      <c r="C123" s="1">
        <v>632828.22</v>
      </c>
      <c r="D123" t="s">
        <v>17</v>
      </c>
      <c r="E123" s="2">
        <v>41395</v>
      </c>
      <c r="F123" t="s">
        <v>119</v>
      </c>
      <c r="G123" t="s">
        <v>38</v>
      </c>
      <c r="H123" t="s">
        <v>14</v>
      </c>
      <c r="I123" t="s">
        <v>8</v>
      </c>
      <c r="J123">
        <f>YEAR(Table1[[#This Row],[Starting Date]])</f>
        <v>2013</v>
      </c>
    </row>
    <row r="124" spans="1:10" x14ac:dyDescent="0.3">
      <c r="A124" t="s">
        <v>293</v>
      </c>
      <c r="B124" t="s">
        <v>294</v>
      </c>
      <c r="C124" s="1">
        <v>536976</v>
      </c>
      <c r="D124" t="s">
        <v>52</v>
      </c>
      <c r="E124" s="2">
        <v>41332</v>
      </c>
      <c r="F124" t="s">
        <v>18</v>
      </c>
      <c r="G124" t="s">
        <v>25</v>
      </c>
      <c r="H124" t="s">
        <v>14</v>
      </c>
      <c r="I124" t="s">
        <v>8</v>
      </c>
      <c r="J124">
        <f>YEAR(Table1[[#This Row],[Starting Date]])</f>
        <v>2013</v>
      </c>
    </row>
    <row r="125" spans="1:10" x14ac:dyDescent="0.3">
      <c r="A125" t="s">
        <v>295</v>
      </c>
      <c r="B125" t="s">
        <v>296</v>
      </c>
      <c r="C125" s="1">
        <v>675686.24</v>
      </c>
      <c r="D125" t="s">
        <v>17</v>
      </c>
      <c r="E125" s="2">
        <v>41331</v>
      </c>
      <c r="F125" t="s">
        <v>119</v>
      </c>
      <c r="G125" t="s">
        <v>38</v>
      </c>
      <c r="H125" t="s">
        <v>14</v>
      </c>
      <c r="I125" t="s">
        <v>8</v>
      </c>
      <c r="J125">
        <f>YEAR(Table1[[#This Row],[Starting Date]])</f>
        <v>2013</v>
      </c>
    </row>
    <row r="126" spans="1:10" x14ac:dyDescent="0.3">
      <c r="A126" t="s">
        <v>297</v>
      </c>
      <c r="B126" t="s">
        <v>298</v>
      </c>
      <c r="C126" s="1">
        <v>70650407.650000006</v>
      </c>
      <c r="D126" t="s">
        <v>17</v>
      </c>
      <c r="E126" s="2">
        <v>41325</v>
      </c>
      <c r="F126" t="s">
        <v>119</v>
      </c>
      <c r="G126" t="s">
        <v>29</v>
      </c>
      <c r="H126" t="s">
        <v>14</v>
      </c>
      <c r="I126" t="s">
        <v>30</v>
      </c>
      <c r="J126">
        <f>YEAR(Table1[[#This Row],[Starting Date]])</f>
        <v>2013</v>
      </c>
    </row>
    <row r="127" spans="1:10" x14ac:dyDescent="0.3">
      <c r="A127" t="s">
        <v>299</v>
      </c>
      <c r="B127" t="s">
        <v>298</v>
      </c>
      <c r="C127" s="1">
        <v>64687655.649999999</v>
      </c>
      <c r="D127" t="s">
        <v>17</v>
      </c>
      <c r="E127" s="2">
        <v>41325</v>
      </c>
      <c r="F127" t="s">
        <v>119</v>
      </c>
      <c r="G127" t="s">
        <v>29</v>
      </c>
      <c r="H127" t="s">
        <v>14</v>
      </c>
      <c r="I127" t="s">
        <v>30</v>
      </c>
      <c r="J127">
        <f>YEAR(Table1[[#This Row],[Starting Date]])</f>
        <v>2013</v>
      </c>
    </row>
    <row r="128" spans="1:10" x14ac:dyDescent="0.3">
      <c r="A128" t="s">
        <v>300</v>
      </c>
      <c r="B128" t="s">
        <v>301</v>
      </c>
      <c r="C128" s="1">
        <v>10912815</v>
      </c>
      <c r="D128" t="s">
        <v>302</v>
      </c>
      <c r="E128" s="2">
        <v>41290</v>
      </c>
      <c r="F128" t="s">
        <v>18</v>
      </c>
      <c r="G128" t="s">
        <v>29</v>
      </c>
      <c r="H128" t="s">
        <v>14</v>
      </c>
      <c r="I128" t="s">
        <v>30</v>
      </c>
      <c r="J128">
        <f>YEAR(Table1[[#This Row],[Starting Date]])</f>
        <v>2013</v>
      </c>
    </row>
    <row r="129" spans="1:10" x14ac:dyDescent="0.3">
      <c r="A129" t="s">
        <v>303</v>
      </c>
      <c r="B129" t="s">
        <v>304</v>
      </c>
      <c r="C129" s="1">
        <v>4800000</v>
      </c>
      <c r="D129" t="s">
        <v>153</v>
      </c>
      <c r="E129" s="2">
        <v>41262</v>
      </c>
      <c r="F129" t="s">
        <v>119</v>
      </c>
      <c r="G129" t="s">
        <v>19</v>
      </c>
      <c r="H129" t="s">
        <v>14</v>
      </c>
      <c r="I129" t="s">
        <v>8</v>
      </c>
      <c r="J129">
        <f>YEAR(Table1[[#This Row],[Starting Date]])</f>
        <v>2012</v>
      </c>
    </row>
    <row r="130" spans="1:10" x14ac:dyDescent="0.3">
      <c r="A130" t="s">
        <v>305</v>
      </c>
      <c r="B130" t="s">
        <v>306</v>
      </c>
      <c r="C130" s="1">
        <v>25558386.600000001</v>
      </c>
      <c r="D130" t="s">
        <v>100</v>
      </c>
      <c r="E130" s="2">
        <v>41255</v>
      </c>
      <c r="F130" t="s">
        <v>18</v>
      </c>
      <c r="G130" t="s">
        <v>29</v>
      </c>
      <c r="H130" t="s">
        <v>14</v>
      </c>
      <c r="I130" t="s">
        <v>30</v>
      </c>
      <c r="J130">
        <f>YEAR(Table1[[#This Row],[Starting Date]])</f>
        <v>2012</v>
      </c>
    </row>
    <row r="131" spans="1:10" x14ac:dyDescent="0.3">
      <c r="A131" t="s">
        <v>307</v>
      </c>
      <c r="B131" t="s">
        <v>308</v>
      </c>
      <c r="C131" s="1">
        <v>14117912.810000001</v>
      </c>
      <c r="D131" t="s">
        <v>202</v>
      </c>
      <c r="E131" s="2">
        <v>41255</v>
      </c>
      <c r="F131" t="s">
        <v>18</v>
      </c>
      <c r="G131" t="s">
        <v>29</v>
      </c>
      <c r="H131" t="s">
        <v>14</v>
      </c>
      <c r="I131" t="s">
        <v>30</v>
      </c>
      <c r="J131">
        <f>YEAR(Table1[[#This Row],[Starting Date]])</f>
        <v>2012</v>
      </c>
    </row>
    <row r="132" spans="1:10" x14ac:dyDescent="0.3">
      <c r="A132" t="s">
        <v>309</v>
      </c>
      <c r="B132" t="s">
        <v>310</v>
      </c>
      <c r="C132" s="1">
        <v>31143442.010000002</v>
      </c>
      <c r="D132" t="s">
        <v>135</v>
      </c>
      <c r="E132" s="2">
        <v>41255</v>
      </c>
      <c r="F132" t="s">
        <v>18</v>
      </c>
      <c r="G132" t="s">
        <v>29</v>
      </c>
      <c r="H132" t="s">
        <v>14</v>
      </c>
      <c r="I132" t="s">
        <v>30</v>
      </c>
      <c r="J132">
        <f>YEAR(Table1[[#This Row],[Starting Date]])</f>
        <v>2012</v>
      </c>
    </row>
    <row r="133" spans="1:10" x14ac:dyDescent="0.3">
      <c r="A133" t="s">
        <v>311</v>
      </c>
      <c r="B133" t="s">
        <v>312</v>
      </c>
      <c r="C133" s="1">
        <v>15000000</v>
      </c>
      <c r="D133" t="s">
        <v>17</v>
      </c>
      <c r="E133" s="2">
        <v>41248</v>
      </c>
      <c r="F133" t="s">
        <v>18</v>
      </c>
      <c r="G133" t="s">
        <v>13</v>
      </c>
      <c r="H133" t="s">
        <v>14</v>
      </c>
      <c r="I133" t="s">
        <v>8</v>
      </c>
      <c r="J133">
        <f>YEAR(Table1[[#This Row],[Starting Date]])</f>
        <v>2012</v>
      </c>
    </row>
    <row r="134" spans="1:10" x14ac:dyDescent="0.3">
      <c r="A134" t="s">
        <v>313</v>
      </c>
      <c r="B134" t="s">
        <v>314</v>
      </c>
      <c r="C134" s="1">
        <v>489258</v>
      </c>
      <c r="D134" t="s">
        <v>52</v>
      </c>
      <c r="E134" s="2">
        <v>41172</v>
      </c>
      <c r="F134" t="s">
        <v>119</v>
      </c>
      <c r="G134" t="s">
        <v>25</v>
      </c>
      <c r="H134" t="s">
        <v>14</v>
      </c>
      <c r="I134" t="s">
        <v>8</v>
      </c>
      <c r="J134">
        <f>YEAR(Table1[[#This Row],[Starting Date]])</f>
        <v>2012</v>
      </c>
    </row>
    <row r="135" spans="1:10" x14ac:dyDescent="0.3">
      <c r="A135" t="s">
        <v>315</v>
      </c>
      <c r="B135" t="s">
        <v>316</v>
      </c>
      <c r="C135" s="1">
        <v>750000</v>
      </c>
      <c r="D135" t="s">
        <v>317</v>
      </c>
      <c r="E135" s="2">
        <v>41138</v>
      </c>
      <c r="F135" t="s">
        <v>119</v>
      </c>
      <c r="G135" t="s">
        <v>25</v>
      </c>
      <c r="H135" t="s">
        <v>14</v>
      </c>
      <c r="I135" t="s">
        <v>8</v>
      </c>
      <c r="J135">
        <f>YEAR(Table1[[#This Row],[Starting Date]])</f>
        <v>2012</v>
      </c>
    </row>
    <row r="136" spans="1:10" x14ac:dyDescent="0.3">
      <c r="A136" t="s">
        <v>318</v>
      </c>
      <c r="B136" t="s">
        <v>319</v>
      </c>
      <c r="C136" s="1">
        <v>40592158.409999996</v>
      </c>
      <c r="D136" t="s">
        <v>140</v>
      </c>
      <c r="E136" s="2">
        <v>41080</v>
      </c>
      <c r="F136" t="s">
        <v>18</v>
      </c>
      <c r="G136" t="s">
        <v>29</v>
      </c>
      <c r="H136" t="s">
        <v>14</v>
      </c>
      <c r="I136" t="s">
        <v>8</v>
      </c>
      <c r="J136">
        <f>YEAR(Table1[[#This Row],[Starting Date]])</f>
        <v>2012</v>
      </c>
    </row>
    <row r="137" spans="1:10" x14ac:dyDescent="0.3">
      <c r="A137" t="s">
        <v>320</v>
      </c>
      <c r="B137" t="s">
        <v>321</v>
      </c>
      <c r="C137" s="1">
        <v>668786.99</v>
      </c>
      <c r="D137" t="s">
        <v>202</v>
      </c>
      <c r="E137" s="2">
        <v>41065</v>
      </c>
      <c r="F137" t="s">
        <v>119</v>
      </c>
      <c r="G137" t="s">
        <v>38</v>
      </c>
      <c r="H137" t="s">
        <v>14</v>
      </c>
      <c r="I137" t="s">
        <v>8</v>
      </c>
      <c r="J137">
        <f>YEAR(Table1[[#This Row],[Starting Date]])</f>
        <v>2012</v>
      </c>
    </row>
    <row r="138" spans="1:10" x14ac:dyDescent="0.3">
      <c r="A138" t="s">
        <v>322</v>
      </c>
      <c r="B138" t="s">
        <v>323</v>
      </c>
      <c r="C138" s="1">
        <v>695858.16</v>
      </c>
      <c r="D138" t="s">
        <v>112</v>
      </c>
      <c r="E138" s="2">
        <v>41065</v>
      </c>
      <c r="F138" t="s">
        <v>119</v>
      </c>
      <c r="G138" t="s">
        <v>38</v>
      </c>
      <c r="H138" t="s">
        <v>14</v>
      </c>
      <c r="I138" t="s">
        <v>30</v>
      </c>
      <c r="J138">
        <f>YEAR(Table1[[#This Row],[Starting Date]])</f>
        <v>2012</v>
      </c>
    </row>
    <row r="139" spans="1:10" x14ac:dyDescent="0.3">
      <c r="A139" t="s">
        <v>324</v>
      </c>
      <c r="B139" t="s">
        <v>325</v>
      </c>
      <c r="C139" s="1">
        <v>141664128.52000001</v>
      </c>
      <c r="D139" t="s">
        <v>17</v>
      </c>
      <c r="E139" s="2">
        <v>40954</v>
      </c>
      <c r="F139" t="s">
        <v>18</v>
      </c>
      <c r="G139" t="s">
        <v>29</v>
      </c>
      <c r="H139" t="s">
        <v>14</v>
      </c>
      <c r="I139" t="s">
        <v>30</v>
      </c>
      <c r="J139">
        <f>YEAR(Table1[[#This Row],[Starting Date]])</f>
        <v>2012</v>
      </c>
    </row>
    <row r="140" spans="1:10" x14ac:dyDescent="0.3">
      <c r="A140" t="s">
        <v>326</v>
      </c>
      <c r="B140" t="s">
        <v>327</v>
      </c>
      <c r="C140" s="1">
        <v>49735.11</v>
      </c>
      <c r="D140" t="s">
        <v>17</v>
      </c>
      <c r="E140" s="2">
        <v>40892</v>
      </c>
      <c r="F140" t="s">
        <v>119</v>
      </c>
      <c r="G140" t="s">
        <v>328</v>
      </c>
      <c r="H140" t="s">
        <v>14</v>
      </c>
      <c r="I140" t="s">
        <v>8</v>
      </c>
      <c r="J140">
        <f>YEAR(Table1[[#This Row],[Starting Date]])</f>
        <v>2011</v>
      </c>
    </row>
    <row r="141" spans="1:10" x14ac:dyDescent="0.3">
      <c r="A141" t="s">
        <v>329</v>
      </c>
      <c r="B141" t="s">
        <v>330</v>
      </c>
      <c r="C141" s="1">
        <v>2831997.21</v>
      </c>
      <c r="D141" t="s">
        <v>230</v>
      </c>
      <c r="E141" s="2">
        <v>40884</v>
      </c>
      <c r="F141" t="s">
        <v>119</v>
      </c>
      <c r="G141" t="s">
        <v>29</v>
      </c>
      <c r="H141" t="s">
        <v>14</v>
      </c>
      <c r="I141" t="s">
        <v>30</v>
      </c>
      <c r="J141">
        <f>YEAR(Table1[[#This Row],[Starting Date]])</f>
        <v>2011</v>
      </c>
    </row>
    <row r="142" spans="1:10" x14ac:dyDescent="0.3">
      <c r="A142" t="s">
        <v>331</v>
      </c>
      <c r="B142" t="s">
        <v>332</v>
      </c>
      <c r="C142" s="1">
        <v>807018</v>
      </c>
      <c r="D142" t="s">
        <v>143</v>
      </c>
      <c r="E142" s="2">
        <v>40877</v>
      </c>
      <c r="F142" t="s">
        <v>119</v>
      </c>
      <c r="G142" t="s">
        <v>19</v>
      </c>
      <c r="H142" t="s">
        <v>14</v>
      </c>
      <c r="I142" t="s">
        <v>8</v>
      </c>
      <c r="J142">
        <f>YEAR(Table1[[#This Row],[Starting Date]])</f>
        <v>2011</v>
      </c>
    </row>
    <row r="143" spans="1:10" ht="28.8" x14ac:dyDescent="0.3">
      <c r="A143" t="s">
        <v>333</v>
      </c>
      <c r="B143" s="3" t="s">
        <v>334</v>
      </c>
      <c r="C143" s="1">
        <v>185624078.09</v>
      </c>
      <c r="D143" t="s">
        <v>52</v>
      </c>
      <c r="E143" s="2">
        <v>40870</v>
      </c>
      <c r="F143" t="s">
        <v>119</v>
      </c>
      <c r="G143" t="s">
        <v>29</v>
      </c>
      <c r="H143" t="s">
        <v>14</v>
      </c>
      <c r="I143" t="s">
        <v>8</v>
      </c>
      <c r="J143">
        <f>YEAR(Table1[[#This Row],[Starting Date]])</f>
        <v>2011</v>
      </c>
    </row>
    <row r="144" spans="1:10" x14ac:dyDescent="0.3">
      <c r="A144" t="s">
        <v>335</v>
      </c>
      <c r="B144" t="s">
        <v>336</v>
      </c>
      <c r="C144" s="1">
        <v>8389401.7300000004</v>
      </c>
      <c r="D144" t="s">
        <v>112</v>
      </c>
      <c r="E144" s="2">
        <v>40870</v>
      </c>
      <c r="F144" t="s">
        <v>18</v>
      </c>
      <c r="G144" t="s">
        <v>29</v>
      </c>
      <c r="H144" t="s">
        <v>14</v>
      </c>
      <c r="I144" t="s">
        <v>30</v>
      </c>
      <c r="J144">
        <f>YEAR(Table1[[#This Row],[Starting Date]])</f>
        <v>2011</v>
      </c>
    </row>
    <row r="145" spans="1:10" x14ac:dyDescent="0.3">
      <c r="A145" t="s">
        <v>337</v>
      </c>
      <c r="B145" t="s">
        <v>336</v>
      </c>
      <c r="C145" s="1">
        <v>3541603.21</v>
      </c>
      <c r="D145" t="s">
        <v>112</v>
      </c>
      <c r="E145" s="2">
        <v>40870</v>
      </c>
      <c r="F145" t="s">
        <v>18</v>
      </c>
      <c r="G145" t="s">
        <v>29</v>
      </c>
      <c r="H145" t="s">
        <v>14</v>
      </c>
      <c r="I145" t="s">
        <v>30</v>
      </c>
      <c r="J145">
        <f>YEAR(Table1[[#This Row],[Starting Date]])</f>
        <v>2011</v>
      </c>
    </row>
    <row r="146" spans="1:10" x14ac:dyDescent="0.3">
      <c r="A146" t="s">
        <v>338</v>
      </c>
      <c r="B146" t="s">
        <v>339</v>
      </c>
      <c r="C146" s="1">
        <v>497000</v>
      </c>
      <c r="D146" t="s">
        <v>317</v>
      </c>
      <c r="E146" s="2">
        <v>40862</v>
      </c>
      <c r="F146" t="s">
        <v>119</v>
      </c>
      <c r="G146" t="s">
        <v>25</v>
      </c>
      <c r="H146" t="s">
        <v>14</v>
      </c>
      <c r="I146" t="s">
        <v>8</v>
      </c>
      <c r="J146">
        <f>YEAR(Table1[[#This Row],[Starting Date]])</f>
        <v>2011</v>
      </c>
    </row>
    <row r="147" spans="1:10" x14ac:dyDescent="0.3">
      <c r="A147" t="s">
        <v>340</v>
      </c>
      <c r="B147" t="s">
        <v>341</v>
      </c>
      <c r="C147" s="1">
        <v>36248957.840000004</v>
      </c>
      <c r="D147" t="s">
        <v>85</v>
      </c>
      <c r="E147" s="2">
        <v>40737</v>
      </c>
      <c r="F147" t="s">
        <v>119</v>
      </c>
      <c r="G147" t="s">
        <v>29</v>
      </c>
      <c r="H147" t="s">
        <v>14</v>
      </c>
      <c r="I147" t="s">
        <v>8</v>
      </c>
      <c r="J147">
        <f>YEAR(Table1[[#This Row],[Starting Date]])</f>
        <v>2011</v>
      </c>
    </row>
    <row r="148" spans="1:10" x14ac:dyDescent="0.3">
      <c r="A148" t="s">
        <v>342</v>
      </c>
      <c r="B148" t="s">
        <v>343</v>
      </c>
      <c r="C148" s="1">
        <v>4617657.92</v>
      </c>
      <c r="D148" t="s">
        <v>46</v>
      </c>
      <c r="E148" s="2">
        <v>40730</v>
      </c>
      <c r="F148" t="s">
        <v>18</v>
      </c>
      <c r="G148" t="s">
        <v>29</v>
      </c>
      <c r="H148" t="s">
        <v>14</v>
      </c>
      <c r="I148" t="s">
        <v>30</v>
      </c>
      <c r="J148">
        <f>YEAR(Table1[[#This Row],[Starting Date]])</f>
        <v>2011</v>
      </c>
    </row>
    <row r="149" spans="1:10" x14ac:dyDescent="0.3">
      <c r="A149" t="s">
        <v>344</v>
      </c>
      <c r="B149" t="s">
        <v>345</v>
      </c>
      <c r="C149" s="1">
        <v>70832064.260000005</v>
      </c>
      <c r="D149" t="s">
        <v>100</v>
      </c>
      <c r="E149" s="2">
        <v>40689</v>
      </c>
      <c r="F149" t="s">
        <v>18</v>
      </c>
      <c r="G149" t="s">
        <v>29</v>
      </c>
      <c r="H149" t="s">
        <v>14</v>
      </c>
      <c r="I149" t="s">
        <v>8</v>
      </c>
      <c r="J149">
        <f>YEAR(Table1[[#This Row],[Starting Date]])</f>
        <v>2011</v>
      </c>
    </row>
    <row r="150" spans="1:10" x14ac:dyDescent="0.3">
      <c r="A150" t="s">
        <v>346</v>
      </c>
      <c r="B150" t="s">
        <v>347</v>
      </c>
      <c r="C150" s="1">
        <v>35416032.130000003</v>
      </c>
      <c r="D150" t="s">
        <v>100</v>
      </c>
      <c r="E150" s="2">
        <v>40689</v>
      </c>
      <c r="F150" t="s">
        <v>18</v>
      </c>
      <c r="G150" t="s">
        <v>29</v>
      </c>
      <c r="H150" t="s">
        <v>14</v>
      </c>
      <c r="I150" t="s">
        <v>8</v>
      </c>
      <c r="J150">
        <f>YEAR(Table1[[#This Row],[Starting Date]])</f>
        <v>2011</v>
      </c>
    </row>
    <row r="151" spans="1:10" x14ac:dyDescent="0.3">
      <c r="A151" t="s">
        <v>348</v>
      </c>
      <c r="B151" t="s">
        <v>349</v>
      </c>
      <c r="C151" s="1">
        <v>53732746.75</v>
      </c>
      <c r="D151" t="s">
        <v>17</v>
      </c>
      <c r="E151" s="2">
        <v>40597</v>
      </c>
      <c r="F151" t="s">
        <v>18</v>
      </c>
      <c r="G151" t="s">
        <v>29</v>
      </c>
      <c r="H151" t="s">
        <v>14</v>
      </c>
      <c r="I151" t="s">
        <v>30</v>
      </c>
      <c r="J151">
        <f>YEAR(Table1[[#This Row],[Starting Date]])</f>
        <v>2011</v>
      </c>
    </row>
    <row r="152" spans="1:10" x14ac:dyDescent="0.3">
      <c r="A152" t="s">
        <v>350</v>
      </c>
      <c r="B152" t="s">
        <v>351</v>
      </c>
      <c r="C152" s="1">
        <v>211429900.41999999</v>
      </c>
      <c r="D152" t="s">
        <v>140</v>
      </c>
      <c r="E152" s="2">
        <v>40577</v>
      </c>
      <c r="F152" t="s">
        <v>18</v>
      </c>
      <c r="G152" t="s">
        <v>29</v>
      </c>
      <c r="H152" t="s">
        <v>14</v>
      </c>
      <c r="I152" t="s">
        <v>30</v>
      </c>
      <c r="J152">
        <f>YEAR(Table1[[#This Row],[Starting Date]])</f>
        <v>2011</v>
      </c>
    </row>
    <row r="153" spans="1:10" x14ac:dyDescent="0.3">
      <c r="A153" t="s">
        <v>352</v>
      </c>
      <c r="B153" t="s">
        <v>353</v>
      </c>
      <c r="C153" s="1">
        <v>464988</v>
      </c>
      <c r="D153" t="s">
        <v>52</v>
      </c>
      <c r="E153" s="2">
        <v>40562</v>
      </c>
      <c r="F153" t="s">
        <v>119</v>
      </c>
      <c r="G153" t="s">
        <v>25</v>
      </c>
      <c r="H153" t="s">
        <v>14</v>
      </c>
      <c r="I153" t="s">
        <v>8</v>
      </c>
      <c r="J153">
        <f>YEAR(Table1[[#This Row],[Starting Date]])</f>
        <v>2011</v>
      </c>
    </row>
    <row r="154" spans="1:10" x14ac:dyDescent="0.3">
      <c r="A154" t="s">
        <v>354</v>
      </c>
      <c r="B154" t="s">
        <v>355</v>
      </c>
      <c r="C154" s="1">
        <v>538600.43000000005</v>
      </c>
      <c r="D154" t="s">
        <v>71</v>
      </c>
      <c r="E154" s="2">
        <v>40554</v>
      </c>
      <c r="F154" t="s">
        <v>119</v>
      </c>
      <c r="G154" t="s">
        <v>38</v>
      </c>
      <c r="H154" t="s">
        <v>14</v>
      </c>
      <c r="I154" t="s">
        <v>8</v>
      </c>
      <c r="J154">
        <f>YEAR(Table1[[#This Row],[Starting Date]])</f>
        <v>2011</v>
      </c>
    </row>
    <row r="155" spans="1:10" x14ac:dyDescent="0.3">
      <c r="A155" t="s">
        <v>356</v>
      </c>
      <c r="B155" t="s">
        <v>357</v>
      </c>
      <c r="C155" s="1">
        <v>203963.98</v>
      </c>
      <c r="D155" t="s">
        <v>71</v>
      </c>
      <c r="E155" s="2">
        <v>40554</v>
      </c>
      <c r="F155" t="s">
        <v>119</v>
      </c>
      <c r="G155" t="s">
        <v>38</v>
      </c>
      <c r="H155" t="s">
        <v>14</v>
      </c>
      <c r="I155" t="s">
        <v>30</v>
      </c>
      <c r="J155">
        <f>YEAR(Table1[[#This Row],[Starting Date]])</f>
        <v>2011</v>
      </c>
    </row>
    <row r="156" spans="1:10" x14ac:dyDescent="0.3">
      <c r="A156" t="s">
        <v>358</v>
      </c>
      <c r="B156" t="s">
        <v>359</v>
      </c>
      <c r="C156" s="1">
        <v>480350</v>
      </c>
      <c r="D156" t="s">
        <v>52</v>
      </c>
      <c r="E156" s="2">
        <v>40525</v>
      </c>
      <c r="F156" t="s">
        <v>119</v>
      </c>
      <c r="G156" t="s">
        <v>25</v>
      </c>
      <c r="H156" t="s">
        <v>14</v>
      </c>
      <c r="I156" t="s">
        <v>8</v>
      </c>
      <c r="J156">
        <f>YEAR(Table1[[#This Row],[Starting Date]])</f>
        <v>2010</v>
      </c>
    </row>
    <row r="157" spans="1:10" x14ac:dyDescent="0.3">
      <c r="A157" t="s">
        <v>360</v>
      </c>
      <c r="B157" t="s">
        <v>361</v>
      </c>
      <c r="C157" s="1">
        <v>5666565.1399999997</v>
      </c>
      <c r="D157" t="s">
        <v>71</v>
      </c>
      <c r="E157" s="2">
        <v>40501</v>
      </c>
      <c r="F157" t="s">
        <v>18</v>
      </c>
      <c r="G157" t="s">
        <v>29</v>
      </c>
      <c r="H157" t="s">
        <v>14</v>
      </c>
      <c r="I157" t="s">
        <v>30</v>
      </c>
      <c r="J157">
        <f>YEAR(Table1[[#This Row],[Starting Date]])</f>
        <v>2010</v>
      </c>
    </row>
    <row r="158" spans="1:10" x14ac:dyDescent="0.3">
      <c r="A158" t="s">
        <v>362</v>
      </c>
      <c r="B158" t="s">
        <v>363</v>
      </c>
      <c r="C158" s="1">
        <v>8499847.7100000009</v>
      </c>
      <c r="D158" t="s">
        <v>71</v>
      </c>
      <c r="E158" s="2">
        <v>40501</v>
      </c>
      <c r="F158" t="s">
        <v>18</v>
      </c>
      <c r="G158" t="s">
        <v>29</v>
      </c>
      <c r="H158" t="s">
        <v>14</v>
      </c>
      <c r="I158" t="s">
        <v>30</v>
      </c>
      <c r="J158">
        <f>YEAR(Table1[[#This Row],[Starting Date]])</f>
        <v>2010</v>
      </c>
    </row>
    <row r="159" spans="1:10" x14ac:dyDescent="0.3">
      <c r="A159" t="s">
        <v>364</v>
      </c>
      <c r="B159" t="s">
        <v>365</v>
      </c>
      <c r="C159" s="1">
        <v>5000000</v>
      </c>
      <c r="D159" t="s">
        <v>17</v>
      </c>
      <c r="E159" s="2">
        <v>40491</v>
      </c>
      <c r="F159" t="s">
        <v>119</v>
      </c>
      <c r="G159" t="s">
        <v>13</v>
      </c>
      <c r="H159" t="s">
        <v>14</v>
      </c>
      <c r="I159" t="s">
        <v>8</v>
      </c>
      <c r="J159">
        <f>YEAR(Table1[[#This Row],[Starting Date]])</f>
        <v>2010</v>
      </c>
    </row>
    <row r="160" spans="1:10" x14ac:dyDescent="0.3">
      <c r="A160" t="s">
        <v>366</v>
      </c>
      <c r="B160" t="s">
        <v>367</v>
      </c>
      <c r="C160" s="1">
        <v>53290.7</v>
      </c>
      <c r="D160" t="s">
        <v>17</v>
      </c>
      <c r="E160" s="2">
        <v>40486</v>
      </c>
      <c r="F160" t="s">
        <v>119</v>
      </c>
      <c r="G160" t="s">
        <v>328</v>
      </c>
      <c r="H160" t="s">
        <v>14</v>
      </c>
      <c r="I160" t="s">
        <v>8</v>
      </c>
      <c r="J160">
        <f>YEAR(Table1[[#This Row],[Starting Date]])</f>
        <v>2010</v>
      </c>
    </row>
    <row r="161" spans="1:10" x14ac:dyDescent="0.3">
      <c r="A161" t="s">
        <v>368</v>
      </c>
      <c r="B161" t="s">
        <v>369</v>
      </c>
      <c r="C161" s="1">
        <v>652415.02</v>
      </c>
      <c r="D161" t="s">
        <v>17</v>
      </c>
      <c r="E161" s="2">
        <v>40389</v>
      </c>
      <c r="F161" t="s">
        <v>119</v>
      </c>
      <c r="G161" t="s">
        <v>370</v>
      </c>
      <c r="H161" t="s">
        <v>14</v>
      </c>
      <c r="I161" t="s">
        <v>8</v>
      </c>
      <c r="J161">
        <f>YEAR(Table1[[#This Row],[Starting Date]])</f>
        <v>2010</v>
      </c>
    </row>
    <row r="162" spans="1:10" x14ac:dyDescent="0.3">
      <c r="A162" t="s">
        <v>371</v>
      </c>
      <c r="B162" t="s">
        <v>266</v>
      </c>
      <c r="C162" s="1">
        <v>106472083.02</v>
      </c>
      <c r="D162" t="s">
        <v>17</v>
      </c>
      <c r="E162" s="2">
        <v>40378</v>
      </c>
      <c r="F162" t="s">
        <v>18</v>
      </c>
      <c r="G162" t="s">
        <v>29</v>
      </c>
      <c r="H162" t="s">
        <v>14</v>
      </c>
      <c r="I162" t="s">
        <v>30</v>
      </c>
      <c r="J162">
        <f>YEAR(Table1[[#This Row],[Starting Date]])</f>
        <v>2010</v>
      </c>
    </row>
    <row r="163" spans="1:10" x14ac:dyDescent="0.3">
      <c r="A163" t="s">
        <v>372</v>
      </c>
      <c r="B163" t="s">
        <v>373</v>
      </c>
      <c r="C163" s="1">
        <v>62245399.030000001</v>
      </c>
      <c r="D163" t="s">
        <v>100</v>
      </c>
      <c r="E163" s="2">
        <v>40352</v>
      </c>
      <c r="F163" t="s">
        <v>119</v>
      </c>
      <c r="G163" t="s">
        <v>29</v>
      </c>
      <c r="H163" t="s">
        <v>14</v>
      </c>
      <c r="I163" t="s">
        <v>30</v>
      </c>
      <c r="J163">
        <f>YEAR(Table1[[#This Row],[Starting Date]])</f>
        <v>2010</v>
      </c>
    </row>
    <row r="164" spans="1:10" x14ac:dyDescent="0.3">
      <c r="A164" t="s">
        <v>374</v>
      </c>
      <c r="B164" t="s">
        <v>375</v>
      </c>
      <c r="C164" s="1">
        <v>50354.92</v>
      </c>
      <c r="D164" t="s">
        <v>17</v>
      </c>
      <c r="E164" s="2">
        <v>40319</v>
      </c>
      <c r="F164" t="s">
        <v>119</v>
      </c>
      <c r="G164" t="s">
        <v>328</v>
      </c>
      <c r="H164" t="s">
        <v>14</v>
      </c>
      <c r="I164" t="s">
        <v>8</v>
      </c>
      <c r="J164">
        <f>YEAR(Table1[[#This Row],[Starting Date]])</f>
        <v>2010</v>
      </c>
    </row>
    <row r="165" spans="1:10" x14ac:dyDescent="0.3">
      <c r="A165" t="s">
        <v>376</v>
      </c>
      <c r="B165" t="s">
        <v>377</v>
      </c>
      <c r="C165" s="1">
        <v>141664128.52000001</v>
      </c>
      <c r="D165" t="s">
        <v>140</v>
      </c>
      <c r="E165" s="2">
        <v>40317</v>
      </c>
      <c r="F165" t="s">
        <v>18</v>
      </c>
      <c r="G165" t="s">
        <v>29</v>
      </c>
      <c r="H165" t="s">
        <v>14</v>
      </c>
      <c r="I165" t="s">
        <v>30</v>
      </c>
      <c r="J165">
        <f>YEAR(Table1[[#This Row],[Starting Date]])</f>
        <v>2010</v>
      </c>
    </row>
    <row r="166" spans="1:10" x14ac:dyDescent="0.3">
      <c r="A166" t="s">
        <v>378</v>
      </c>
      <c r="B166" t="s">
        <v>379</v>
      </c>
      <c r="C166" s="1">
        <v>737001.14</v>
      </c>
      <c r="D166" t="s">
        <v>248</v>
      </c>
      <c r="E166" s="2">
        <v>40284</v>
      </c>
      <c r="F166" t="s">
        <v>119</v>
      </c>
      <c r="G166" t="s">
        <v>38</v>
      </c>
      <c r="H166" t="s">
        <v>14</v>
      </c>
      <c r="I166" t="s">
        <v>8</v>
      </c>
      <c r="J166">
        <f>YEAR(Table1[[#This Row],[Starting Date]])</f>
        <v>2010</v>
      </c>
    </row>
    <row r="167" spans="1:10" x14ac:dyDescent="0.3">
      <c r="A167" t="s">
        <v>380</v>
      </c>
      <c r="B167" t="s">
        <v>381</v>
      </c>
      <c r="C167" s="1">
        <v>646985.37</v>
      </c>
      <c r="D167" t="s">
        <v>17</v>
      </c>
      <c r="E167" s="2">
        <v>40214</v>
      </c>
      <c r="F167" t="s">
        <v>119</v>
      </c>
      <c r="G167" t="s">
        <v>38</v>
      </c>
      <c r="H167" t="s">
        <v>14</v>
      </c>
      <c r="I167" t="s">
        <v>8</v>
      </c>
      <c r="J167">
        <f>YEAR(Table1[[#This Row],[Starting Date]])</f>
        <v>2010</v>
      </c>
    </row>
    <row r="168" spans="1:10" x14ac:dyDescent="0.3">
      <c r="A168" t="s">
        <v>382</v>
      </c>
      <c r="B168" t="s">
        <v>383</v>
      </c>
      <c r="C168" s="1">
        <v>134245985.05000001</v>
      </c>
      <c r="D168" t="s">
        <v>52</v>
      </c>
      <c r="E168" s="2">
        <v>40156</v>
      </c>
      <c r="F168" t="s">
        <v>119</v>
      </c>
      <c r="G168" t="s">
        <v>29</v>
      </c>
      <c r="H168" t="s">
        <v>14</v>
      </c>
      <c r="I168" t="s">
        <v>8</v>
      </c>
      <c r="J168">
        <f>YEAR(Table1[[#This Row],[Starting Date]])</f>
        <v>2009</v>
      </c>
    </row>
    <row r="169" spans="1:10" x14ac:dyDescent="0.3">
      <c r="A169" t="s">
        <v>384</v>
      </c>
      <c r="B169" t="s">
        <v>385</v>
      </c>
      <c r="C169" s="1">
        <v>649350.65</v>
      </c>
      <c r="D169" t="s">
        <v>17</v>
      </c>
      <c r="E169" s="2">
        <v>40108</v>
      </c>
      <c r="F169" t="s">
        <v>119</v>
      </c>
      <c r="G169" t="s">
        <v>38</v>
      </c>
      <c r="H169" t="s">
        <v>14</v>
      </c>
      <c r="I169" t="s">
        <v>8</v>
      </c>
      <c r="J169">
        <f>YEAR(Table1[[#This Row],[Starting Date]])</f>
        <v>2009</v>
      </c>
    </row>
    <row r="170" spans="1:10" x14ac:dyDescent="0.3">
      <c r="A170">
        <v>405054</v>
      </c>
      <c r="B170" t="s">
        <v>386</v>
      </c>
      <c r="C170" s="1">
        <v>91228.35</v>
      </c>
      <c r="D170" t="s">
        <v>17</v>
      </c>
      <c r="E170" s="2">
        <v>40095</v>
      </c>
      <c r="F170" t="s">
        <v>119</v>
      </c>
      <c r="G170" t="s">
        <v>328</v>
      </c>
      <c r="H170" t="s">
        <v>14</v>
      </c>
      <c r="I170" t="s">
        <v>8</v>
      </c>
      <c r="J170">
        <f>YEAR(Table1[[#This Row],[Starting Date]])</f>
        <v>2009</v>
      </c>
    </row>
    <row r="171" spans="1:10" x14ac:dyDescent="0.3">
      <c r="A171" t="s">
        <v>387</v>
      </c>
      <c r="B171" t="s">
        <v>388</v>
      </c>
      <c r="C171" s="1">
        <v>651856.49</v>
      </c>
      <c r="D171" t="s">
        <v>100</v>
      </c>
      <c r="E171" s="2">
        <v>40057</v>
      </c>
      <c r="F171" t="s">
        <v>119</v>
      </c>
      <c r="G171" t="s">
        <v>38</v>
      </c>
      <c r="H171" t="s">
        <v>14</v>
      </c>
      <c r="I171" t="s">
        <v>8</v>
      </c>
      <c r="J171">
        <f>YEAR(Table1[[#This Row],[Starting Date]])</f>
        <v>2009</v>
      </c>
    </row>
    <row r="172" spans="1:10" x14ac:dyDescent="0.3">
      <c r="A172" t="s">
        <v>389</v>
      </c>
      <c r="B172" t="s">
        <v>390</v>
      </c>
      <c r="C172" s="1">
        <v>430225.28</v>
      </c>
      <c r="D172" t="s">
        <v>202</v>
      </c>
      <c r="E172" s="2">
        <v>40030</v>
      </c>
      <c r="F172" t="s">
        <v>119</v>
      </c>
      <c r="G172" t="s">
        <v>38</v>
      </c>
      <c r="H172" t="s">
        <v>14</v>
      </c>
      <c r="I172" t="s">
        <v>8</v>
      </c>
      <c r="J172">
        <f>YEAR(Table1[[#This Row],[Starting Date]])</f>
        <v>2009</v>
      </c>
    </row>
    <row r="173" spans="1:10" x14ac:dyDescent="0.3">
      <c r="A173" t="s">
        <v>391</v>
      </c>
      <c r="B173" t="s">
        <v>392</v>
      </c>
      <c r="C173" s="1">
        <v>36245279.049999997</v>
      </c>
      <c r="D173" t="s">
        <v>100</v>
      </c>
      <c r="E173" s="2">
        <v>40016</v>
      </c>
      <c r="F173" t="s">
        <v>119</v>
      </c>
      <c r="G173" t="s">
        <v>29</v>
      </c>
      <c r="H173" t="s">
        <v>14</v>
      </c>
      <c r="I173" t="s">
        <v>30</v>
      </c>
      <c r="J173">
        <f>YEAR(Table1[[#This Row],[Starting Date]])</f>
        <v>2009</v>
      </c>
    </row>
    <row r="174" spans="1:10" x14ac:dyDescent="0.3">
      <c r="A174" t="s">
        <v>393</v>
      </c>
      <c r="B174" t="s">
        <v>394</v>
      </c>
      <c r="C174" s="1">
        <v>32592824.359999999</v>
      </c>
      <c r="D174" t="s">
        <v>100</v>
      </c>
      <c r="E174" s="2">
        <v>40016</v>
      </c>
      <c r="F174" t="s">
        <v>119</v>
      </c>
      <c r="G174" t="s">
        <v>29</v>
      </c>
      <c r="H174" t="s">
        <v>14</v>
      </c>
      <c r="I174" t="s">
        <v>30</v>
      </c>
      <c r="J174">
        <f>YEAR(Table1[[#This Row],[Starting Date]])</f>
        <v>2009</v>
      </c>
    </row>
    <row r="175" spans="1:10" x14ac:dyDescent="0.3">
      <c r="A175" t="s">
        <v>395</v>
      </c>
      <c r="B175" t="s">
        <v>396</v>
      </c>
      <c r="C175" s="1">
        <v>65185648.729999997</v>
      </c>
      <c r="D175" t="s">
        <v>100</v>
      </c>
      <c r="E175" s="2">
        <v>40016</v>
      </c>
      <c r="F175" t="s">
        <v>119</v>
      </c>
      <c r="G175" t="s">
        <v>29</v>
      </c>
      <c r="H175" t="s">
        <v>14</v>
      </c>
      <c r="I175" t="s">
        <v>30</v>
      </c>
      <c r="J175">
        <f>YEAR(Table1[[#This Row],[Starting Date]])</f>
        <v>2009</v>
      </c>
    </row>
    <row r="176" spans="1:10" x14ac:dyDescent="0.3">
      <c r="A176" t="s">
        <v>397</v>
      </c>
      <c r="B176" t="s">
        <v>398</v>
      </c>
      <c r="C176" s="1">
        <v>607142.86</v>
      </c>
      <c r="D176" t="s">
        <v>135</v>
      </c>
      <c r="E176" s="2">
        <v>40007</v>
      </c>
      <c r="F176" t="s">
        <v>119</v>
      </c>
      <c r="G176" t="s">
        <v>38</v>
      </c>
      <c r="H176" t="s">
        <v>14</v>
      </c>
      <c r="I176" t="s">
        <v>8</v>
      </c>
      <c r="J176">
        <f>YEAR(Table1[[#This Row],[Starting Date]])</f>
        <v>2009</v>
      </c>
    </row>
    <row r="177" spans="1:10" x14ac:dyDescent="0.3">
      <c r="A177" t="s">
        <v>399</v>
      </c>
      <c r="B177" t="s">
        <v>400</v>
      </c>
      <c r="C177" s="1">
        <v>21749374.710000001</v>
      </c>
      <c r="D177" t="s">
        <v>17</v>
      </c>
      <c r="E177" s="2">
        <v>39862</v>
      </c>
      <c r="F177" t="s">
        <v>18</v>
      </c>
      <c r="G177" t="s">
        <v>29</v>
      </c>
      <c r="H177" t="s">
        <v>14</v>
      </c>
      <c r="I177" t="s">
        <v>30</v>
      </c>
      <c r="J177">
        <f>YEAR(Table1[[#This Row],[Starting Date]])</f>
        <v>2009</v>
      </c>
    </row>
    <row r="178" spans="1:10" x14ac:dyDescent="0.3">
      <c r="A178">
        <v>404791</v>
      </c>
      <c r="B178" t="s">
        <v>401</v>
      </c>
      <c r="C178" s="1">
        <v>122899.01</v>
      </c>
      <c r="D178" t="s">
        <v>17</v>
      </c>
      <c r="E178" s="2">
        <v>39861</v>
      </c>
      <c r="F178" t="s">
        <v>18</v>
      </c>
      <c r="G178" t="s">
        <v>328</v>
      </c>
      <c r="H178" t="s">
        <v>14</v>
      </c>
      <c r="I178" t="s">
        <v>8</v>
      </c>
      <c r="J178">
        <f>YEAR(Table1[[#This Row],[Starting Date]])</f>
        <v>2009</v>
      </c>
    </row>
    <row r="179" spans="1:10" x14ac:dyDescent="0.3">
      <c r="A179">
        <v>404171</v>
      </c>
      <c r="B179" t="s">
        <v>402</v>
      </c>
      <c r="C179" s="1">
        <v>176925.13</v>
      </c>
      <c r="D179" t="s">
        <v>140</v>
      </c>
      <c r="E179" s="2">
        <v>39785</v>
      </c>
      <c r="F179" t="s">
        <v>119</v>
      </c>
      <c r="G179" t="s">
        <v>328</v>
      </c>
      <c r="H179" t="s">
        <v>14</v>
      </c>
      <c r="I179" t="s">
        <v>8</v>
      </c>
      <c r="J179">
        <f>YEAR(Table1[[#This Row],[Starting Date]])</f>
        <v>2008</v>
      </c>
    </row>
    <row r="180" spans="1:10" x14ac:dyDescent="0.3">
      <c r="A180" t="s">
        <v>403</v>
      </c>
      <c r="B180" t="s">
        <v>404</v>
      </c>
      <c r="C180" s="1">
        <v>634472.05000000005</v>
      </c>
      <c r="D180" t="s">
        <v>135</v>
      </c>
      <c r="E180" s="2">
        <v>39762</v>
      </c>
      <c r="F180" t="s">
        <v>119</v>
      </c>
      <c r="G180" t="s">
        <v>38</v>
      </c>
      <c r="H180" t="s">
        <v>14</v>
      </c>
      <c r="I180" t="s">
        <v>8</v>
      </c>
      <c r="J180">
        <f>YEAR(Table1[[#This Row],[Starting Date]])</f>
        <v>2008</v>
      </c>
    </row>
    <row r="181" spans="1:10" x14ac:dyDescent="0.3">
      <c r="A181" t="s">
        <v>405</v>
      </c>
      <c r="B181" t="s">
        <v>406</v>
      </c>
      <c r="C181" s="1">
        <v>651856.49</v>
      </c>
      <c r="D181" t="s">
        <v>245</v>
      </c>
      <c r="E181" s="2">
        <v>39757</v>
      </c>
      <c r="F181" t="s">
        <v>119</v>
      </c>
      <c r="G181" t="s">
        <v>38</v>
      </c>
      <c r="H181" t="s">
        <v>14</v>
      </c>
      <c r="I181" t="s">
        <v>8</v>
      </c>
      <c r="J181">
        <f>YEAR(Table1[[#This Row],[Starting Date]])</f>
        <v>2008</v>
      </c>
    </row>
    <row r="182" spans="1:10" x14ac:dyDescent="0.3">
      <c r="A182" t="s">
        <v>407</v>
      </c>
      <c r="B182" t="s">
        <v>408</v>
      </c>
      <c r="C182" s="1">
        <v>8662279.4499999993</v>
      </c>
      <c r="D182" t="s">
        <v>135</v>
      </c>
      <c r="E182" s="2">
        <v>39715</v>
      </c>
      <c r="F182" t="s">
        <v>119</v>
      </c>
      <c r="G182" t="s">
        <v>29</v>
      </c>
      <c r="H182" t="s">
        <v>14</v>
      </c>
      <c r="I182" t="s">
        <v>30</v>
      </c>
      <c r="J182">
        <f>YEAR(Table1[[#This Row],[Starting Date]])</f>
        <v>2008</v>
      </c>
    </row>
    <row r="183" spans="1:10" x14ac:dyDescent="0.3">
      <c r="A183" t="s">
        <v>409</v>
      </c>
      <c r="B183" t="s">
        <v>410</v>
      </c>
      <c r="C183" s="1">
        <v>2360749.5</v>
      </c>
      <c r="D183" t="s">
        <v>135</v>
      </c>
      <c r="E183" s="2">
        <v>39715</v>
      </c>
      <c r="F183" t="s">
        <v>119</v>
      </c>
      <c r="G183" t="s">
        <v>29</v>
      </c>
      <c r="H183" t="s">
        <v>14</v>
      </c>
      <c r="I183" t="s">
        <v>30</v>
      </c>
      <c r="J183">
        <f>YEAR(Table1[[#This Row],[Starting Date]])</f>
        <v>2008</v>
      </c>
    </row>
    <row r="184" spans="1:10" x14ac:dyDescent="0.3">
      <c r="A184" t="s">
        <v>411</v>
      </c>
      <c r="B184" t="s">
        <v>412</v>
      </c>
      <c r="C184" s="1">
        <v>163650294.19999999</v>
      </c>
      <c r="D184" t="s">
        <v>140</v>
      </c>
      <c r="E184" s="2">
        <v>39702</v>
      </c>
      <c r="F184" t="s">
        <v>18</v>
      </c>
      <c r="G184" t="s">
        <v>29</v>
      </c>
      <c r="H184" t="s">
        <v>14</v>
      </c>
      <c r="I184" t="s">
        <v>30</v>
      </c>
      <c r="J184">
        <f>YEAR(Table1[[#This Row],[Starting Date]])</f>
        <v>2008</v>
      </c>
    </row>
    <row r="185" spans="1:10" x14ac:dyDescent="0.3">
      <c r="A185" t="s">
        <v>413</v>
      </c>
      <c r="B185" t="s">
        <v>414</v>
      </c>
      <c r="C185" s="1">
        <v>72315469</v>
      </c>
      <c r="D185" t="s">
        <v>140</v>
      </c>
      <c r="E185" s="2">
        <v>39702</v>
      </c>
      <c r="F185" t="s">
        <v>18</v>
      </c>
      <c r="G185" t="s">
        <v>29</v>
      </c>
      <c r="H185" t="s">
        <v>14</v>
      </c>
      <c r="I185" t="s">
        <v>30</v>
      </c>
      <c r="J185">
        <f>YEAR(Table1[[#This Row],[Starting Date]])</f>
        <v>2008</v>
      </c>
    </row>
    <row r="186" spans="1:10" x14ac:dyDescent="0.3">
      <c r="A186" t="s">
        <v>415</v>
      </c>
      <c r="B186" t="s">
        <v>416</v>
      </c>
      <c r="C186" s="1">
        <v>10685739.52</v>
      </c>
      <c r="D186" t="s">
        <v>219</v>
      </c>
      <c r="E186" s="2">
        <v>39653</v>
      </c>
      <c r="F186" t="s">
        <v>119</v>
      </c>
      <c r="G186" t="s">
        <v>29</v>
      </c>
      <c r="H186" t="s">
        <v>14</v>
      </c>
      <c r="I186" t="s">
        <v>30</v>
      </c>
      <c r="J186">
        <f>YEAR(Table1[[#This Row],[Starting Date]])</f>
        <v>2008</v>
      </c>
    </row>
    <row r="187" spans="1:10" x14ac:dyDescent="0.3">
      <c r="A187" t="s">
        <v>417</v>
      </c>
      <c r="B187" t="s">
        <v>418</v>
      </c>
      <c r="C187" s="1">
        <v>5799244.6500000004</v>
      </c>
      <c r="D187" t="s">
        <v>33</v>
      </c>
      <c r="E187" s="2">
        <v>39646</v>
      </c>
      <c r="F187" t="s">
        <v>119</v>
      </c>
      <c r="G187" t="s">
        <v>29</v>
      </c>
      <c r="H187" t="s">
        <v>14</v>
      </c>
      <c r="I187" t="s">
        <v>30</v>
      </c>
      <c r="J187">
        <f>YEAR(Table1[[#This Row],[Starting Date]])</f>
        <v>2008</v>
      </c>
    </row>
    <row r="188" spans="1:10" x14ac:dyDescent="0.3">
      <c r="A188" t="s">
        <v>419</v>
      </c>
      <c r="B188" t="s">
        <v>420</v>
      </c>
      <c r="C188" s="1">
        <v>3624527.91</v>
      </c>
      <c r="D188" t="s">
        <v>33</v>
      </c>
      <c r="E188" s="2">
        <v>39646</v>
      </c>
      <c r="F188" t="s">
        <v>119</v>
      </c>
      <c r="G188" t="s">
        <v>29</v>
      </c>
      <c r="H188" t="s">
        <v>14</v>
      </c>
      <c r="I188" t="s">
        <v>30</v>
      </c>
      <c r="J188">
        <f>YEAR(Table1[[#This Row],[Starting Date]])</f>
        <v>2008</v>
      </c>
    </row>
    <row r="189" spans="1:10" x14ac:dyDescent="0.3">
      <c r="A189" t="s">
        <v>421</v>
      </c>
      <c r="B189" t="s">
        <v>422</v>
      </c>
      <c r="C189" s="1">
        <v>14000000</v>
      </c>
      <c r="D189" t="s">
        <v>17</v>
      </c>
      <c r="E189" s="2">
        <v>39638</v>
      </c>
      <c r="F189" t="s">
        <v>119</v>
      </c>
      <c r="G189" t="s">
        <v>13</v>
      </c>
      <c r="H189" t="s">
        <v>14</v>
      </c>
      <c r="I189" t="s">
        <v>8</v>
      </c>
      <c r="J189">
        <f>YEAR(Table1[[#This Row],[Starting Date]])</f>
        <v>2008</v>
      </c>
    </row>
    <row r="190" spans="1:10" x14ac:dyDescent="0.3">
      <c r="A190" t="s">
        <v>423</v>
      </c>
      <c r="B190" t="s">
        <v>424</v>
      </c>
      <c r="C190" s="1">
        <v>37118994.829999998</v>
      </c>
      <c r="D190" t="s">
        <v>17</v>
      </c>
      <c r="E190" s="2">
        <v>39519</v>
      </c>
      <c r="F190" t="s">
        <v>119</v>
      </c>
      <c r="G190" t="s">
        <v>29</v>
      </c>
      <c r="H190" t="s">
        <v>14</v>
      </c>
      <c r="I190" t="s">
        <v>30</v>
      </c>
      <c r="J190">
        <f>YEAR(Table1[[#This Row],[Starting Date]])</f>
        <v>2008</v>
      </c>
    </row>
    <row r="191" spans="1:10" x14ac:dyDescent="0.3">
      <c r="A191" t="s">
        <v>425</v>
      </c>
      <c r="B191" t="s">
        <v>426</v>
      </c>
      <c r="C191" s="1">
        <v>610389.61</v>
      </c>
      <c r="D191" t="s">
        <v>118</v>
      </c>
      <c r="E191" s="2">
        <v>39482</v>
      </c>
      <c r="F191" t="s">
        <v>119</v>
      </c>
      <c r="G191" t="s">
        <v>38</v>
      </c>
      <c r="H191" t="s">
        <v>14</v>
      </c>
      <c r="I191" t="s">
        <v>8</v>
      </c>
      <c r="J191">
        <f>YEAR(Table1[[#This Row],[Starting Date]])</f>
        <v>2008</v>
      </c>
    </row>
    <row r="192" spans="1:10" x14ac:dyDescent="0.3">
      <c r="A192" t="s">
        <v>427</v>
      </c>
      <c r="B192" t="s">
        <v>428</v>
      </c>
      <c r="C192" s="1">
        <v>621219.23</v>
      </c>
      <c r="D192" t="s">
        <v>17</v>
      </c>
      <c r="E192" s="2">
        <v>39482</v>
      </c>
      <c r="F192" t="s">
        <v>119</v>
      </c>
      <c r="G192" t="s">
        <v>38</v>
      </c>
      <c r="H192" t="s">
        <v>14</v>
      </c>
      <c r="I192" t="s">
        <v>8</v>
      </c>
      <c r="J192">
        <f>YEAR(Table1[[#This Row],[Starting Date]])</f>
        <v>2008</v>
      </c>
    </row>
    <row r="193" spans="1:10" x14ac:dyDescent="0.3">
      <c r="A193" t="s">
        <v>429</v>
      </c>
      <c r="B193" t="s">
        <v>430</v>
      </c>
      <c r="C193" s="1">
        <v>33903189.439999998</v>
      </c>
      <c r="D193" t="s">
        <v>17</v>
      </c>
      <c r="E193" s="2">
        <v>39477</v>
      </c>
      <c r="F193" t="s">
        <v>119</v>
      </c>
      <c r="G193" t="s">
        <v>29</v>
      </c>
      <c r="H193" t="s">
        <v>14</v>
      </c>
      <c r="I193" t="s">
        <v>30</v>
      </c>
      <c r="J193">
        <f>YEAR(Table1[[#This Row],[Starting Date]])</f>
        <v>2008</v>
      </c>
    </row>
    <row r="194" spans="1:10" ht="43.2" x14ac:dyDescent="0.3">
      <c r="A194" t="s">
        <v>431</v>
      </c>
      <c r="B194" s="3" t="s">
        <v>432</v>
      </c>
      <c r="C194" s="1">
        <v>345483.94</v>
      </c>
      <c r="D194" t="s">
        <v>433</v>
      </c>
      <c r="E194" s="2">
        <v>39443</v>
      </c>
      <c r="F194" t="s">
        <v>189</v>
      </c>
      <c r="G194" t="s">
        <v>38</v>
      </c>
      <c r="H194" t="s">
        <v>14</v>
      </c>
      <c r="I194" t="s">
        <v>8</v>
      </c>
      <c r="J194">
        <f>YEAR(Table1[[#This Row],[Starting Date]])</f>
        <v>2007</v>
      </c>
    </row>
    <row r="195" spans="1:10" x14ac:dyDescent="0.3">
      <c r="A195" t="s">
        <v>434</v>
      </c>
      <c r="B195" t="s">
        <v>435</v>
      </c>
      <c r="C195" s="1">
        <v>619263.66</v>
      </c>
      <c r="D195" t="s">
        <v>17</v>
      </c>
      <c r="E195" s="2">
        <v>39443</v>
      </c>
      <c r="F195" t="s">
        <v>119</v>
      </c>
      <c r="G195" t="s">
        <v>38</v>
      </c>
      <c r="H195" t="s">
        <v>14</v>
      </c>
      <c r="I195" t="s">
        <v>8</v>
      </c>
      <c r="J195">
        <f>YEAR(Table1[[#This Row],[Starting Date]])</f>
        <v>2007</v>
      </c>
    </row>
    <row r="196" spans="1:10" x14ac:dyDescent="0.3">
      <c r="A196" t="s">
        <v>436</v>
      </c>
      <c r="B196" t="s">
        <v>437</v>
      </c>
      <c r="C196" s="1">
        <v>300000</v>
      </c>
      <c r="D196" t="s">
        <v>43</v>
      </c>
      <c r="E196" s="2">
        <v>39172</v>
      </c>
      <c r="F196" t="s">
        <v>119</v>
      </c>
      <c r="G196" t="s">
        <v>25</v>
      </c>
      <c r="H196" t="s">
        <v>14</v>
      </c>
      <c r="I196" t="s">
        <v>8</v>
      </c>
      <c r="J196">
        <f>YEAR(Table1[[#This Row],[Starting Date]])</f>
        <v>2007</v>
      </c>
    </row>
    <row r="197" spans="1:10" x14ac:dyDescent="0.3">
      <c r="A197" t="s">
        <v>438</v>
      </c>
      <c r="B197" t="s">
        <v>439</v>
      </c>
      <c r="C197" s="1">
        <v>64698537.170000002</v>
      </c>
      <c r="D197" t="s">
        <v>100</v>
      </c>
      <c r="E197" s="2">
        <v>39064</v>
      </c>
      <c r="F197" t="s">
        <v>119</v>
      </c>
      <c r="G197" t="s">
        <v>29</v>
      </c>
      <c r="H197" t="s">
        <v>14</v>
      </c>
      <c r="I197" t="s">
        <v>30</v>
      </c>
      <c r="J197">
        <f>YEAR(Table1[[#This Row],[Starting Date]])</f>
        <v>2006</v>
      </c>
    </row>
    <row r="198" spans="1:10" x14ac:dyDescent="0.3">
      <c r="A198" t="s">
        <v>440</v>
      </c>
      <c r="B198" t="s">
        <v>441</v>
      </c>
      <c r="C198" s="1">
        <v>25075046.030000001</v>
      </c>
      <c r="D198" t="s">
        <v>100</v>
      </c>
      <c r="E198" s="2">
        <v>39064</v>
      </c>
      <c r="F198" t="s">
        <v>119</v>
      </c>
      <c r="G198" t="s">
        <v>29</v>
      </c>
      <c r="H198" t="s">
        <v>14</v>
      </c>
      <c r="I198" t="s">
        <v>30</v>
      </c>
      <c r="J198">
        <f>YEAR(Table1[[#This Row],[Starting Date]])</f>
        <v>2006</v>
      </c>
    </row>
    <row r="199" spans="1:10" x14ac:dyDescent="0.3">
      <c r="A199" t="s">
        <v>442</v>
      </c>
      <c r="B199" t="s">
        <v>443</v>
      </c>
      <c r="C199" s="1">
        <v>354160321.29000002</v>
      </c>
      <c r="D199" t="s">
        <v>43</v>
      </c>
      <c r="E199" s="2">
        <v>38924</v>
      </c>
      <c r="F199" t="s">
        <v>119</v>
      </c>
      <c r="G199" t="s">
        <v>29</v>
      </c>
      <c r="H199" t="s">
        <v>14</v>
      </c>
      <c r="I199" t="s">
        <v>8</v>
      </c>
      <c r="J199">
        <f>YEAR(Table1[[#This Row],[Starting Date]])</f>
        <v>2006</v>
      </c>
    </row>
    <row r="200" spans="1:10" x14ac:dyDescent="0.3">
      <c r="A200" t="s">
        <v>444</v>
      </c>
      <c r="B200" t="s">
        <v>445</v>
      </c>
      <c r="C200" s="1">
        <v>73700114.239999995</v>
      </c>
      <c r="D200" t="s">
        <v>140</v>
      </c>
      <c r="E200" s="2">
        <v>38919</v>
      </c>
      <c r="F200" t="s">
        <v>18</v>
      </c>
      <c r="G200" t="s">
        <v>29</v>
      </c>
      <c r="H200" t="s">
        <v>14</v>
      </c>
      <c r="I200" t="s">
        <v>30</v>
      </c>
      <c r="J200">
        <f>YEAR(Table1[[#This Row],[Starting Date]])</f>
        <v>2006</v>
      </c>
    </row>
    <row r="201" spans="1:10" x14ac:dyDescent="0.3">
      <c r="A201" t="s">
        <v>446</v>
      </c>
      <c r="B201" t="s">
        <v>447</v>
      </c>
      <c r="C201" s="1">
        <v>26074259.489999998</v>
      </c>
      <c r="D201" t="s">
        <v>100</v>
      </c>
      <c r="E201" s="2">
        <v>38698</v>
      </c>
      <c r="F201" t="s">
        <v>119</v>
      </c>
      <c r="G201" t="s">
        <v>29</v>
      </c>
      <c r="H201" t="s">
        <v>14</v>
      </c>
      <c r="I201" t="s">
        <v>30</v>
      </c>
      <c r="J201">
        <f>YEAR(Table1[[#This Row],[Starting Date]])</f>
        <v>2005</v>
      </c>
    </row>
    <row r="202" spans="1:10" x14ac:dyDescent="0.3">
      <c r="A202" t="s">
        <v>448</v>
      </c>
      <c r="B202" t="s">
        <v>449</v>
      </c>
      <c r="C202" s="1">
        <v>146162503.47</v>
      </c>
      <c r="D202" t="s">
        <v>43</v>
      </c>
      <c r="E202" s="2">
        <v>38637</v>
      </c>
      <c r="F202" t="s">
        <v>119</v>
      </c>
      <c r="G202" t="s">
        <v>29</v>
      </c>
      <c r="H202" t="s">
        <v>14</v>
      </c>
      <c r="I202" t="s">
        <v>8</v>
      </c>
      <c r="J202">
        <f>YEAR(Table1[[#This Row],[Starting Date]])</f>
        <v>2005</v>
      </c>
    </row>
    <row r="203" spans="1:10" x14ac:dyDescent="0.3">
      <c r="A203" t="s">
        <v>450</v>
      </c>
      <c r="B203" t="s">
        <v>451</v>
      </c>
      <c r="C203" s="1">
        <v>6800000</v>
      </c>
      <c r="D203" t="s">
        <v>82</v>
      </c>
      <c r="E203" s="2">
        <v>38629</v>
      </c>
      <c r="F203" t="s">
        <v>119</v>
      </c>
      <c r="G203" t="s">
        <v>13</v>
      </c>
      <c r="H203" t="s">
        <v>14</v>
      </c>
      <c r="I203" t="s">
        <v>8</v>
      </c>
      <c r="J203">
        <f>YEAR(Table1[[#This Row],[Starting Date]])</f>
        <v>2005</v>
      </c>
    </row>
    <row r="204" spans="1:10" x14ac:dyDescent="0.3">
      <c r="A204" t="s">
        <v>452</v>
      </c>
      <c r="B204" t="s">
        <v>453</v>
      </c>
      <c r="C204" s="1">
        <v>92936064.75</v>
      </c>
      <c r="D204" t="s">
        <v>85</v>
      </c>
      <c r="E204" s="2">
        <v>38616</v>
      </c>
      <c r="F204" t="s">
        <v>119</v>
      </c>
      <c r="G204" t="s">
        <v>29</v>
      </c>
      <c r="H204" t="s">
        <v>14</v>
      </c>
      <c r="I204" t="s">
        <v>8</v>
      </c>
      <c r="J204">
        <f>YEAR(Table1[[#This Row],[Starting Date]])</f>
        <v>2005</v>
      </c>
    </row>
    <row r="205" spans="1:10" x14ac:dyDescent="0.3">
      <c r="A205" t="s">
        <v>454</v>
      </c>
      <c r="B205" t="s">
        <v>455</v>
      </c>
      <c r="C205" s="1">
        <v>45629954.109999999</v>
      </c>
      <c r="D205" t="s">
        <v>100</v>
      </c>
      <c r="E205" s="2">
        <v>38413</v>
      </c>
      <c r="F205" t="s">
        <v>119</v>
      </c>
      <c r="G205" t="s">
        <v>29</v>
      </c>
      <c r="H205" t="s">
        <v>14</v>
      </c>
      <c r="I205" t="s">
        <v>30</v>
      </c>
      <c r="J205">
        <f>YEAR(Table1[[#This Row],[Starting Date]])</f>
        <v>2005</v>
      </c>
    </row>
    <row r="206" spans="1:10" x14ac:dyDescent="0.3">
      <c r="A206" t="s">
        <v>456</v>
      </c>
      <c r="B206" t="s">
        <v>457</v>
      </c>
      <c r="C206" s="1">
        <v>10636968.449999999</v>
      </c>
      <c r="D206" t="s">
        <v>140</v>
      </c>
      <c r="E206" s="2">
        <v>38296</v>
      </c>
      <c r="F206" t="s">
        <v>18</v>
      </c>
      <c r="G206" t="s">
        <v>29</v>
      </c>
      <c r="H206" t="s">
        <v>14</v>
      </c>
      <c r="I206" t="s">
        <v>30</v>
      </c>
      <c r="J206">
        <f>YEAR(Table1[[#This Row],[Starting Date]])</f>
        <v>2004</v>
      </c>
    </row>
    <row r="207" spans="1:10" x14ac:dyDescent="0.3">
      <c r="A207" t="s">
        <v>458</v>
      </c>
      <c r="B207" t="s">
        <v>459</v>
      </c>
      <c r="C207" s="1">
        <v>19732298.48</v>
      </c>
      <c r="D207" t="s">
        <v>97</v>
      </c>
      <c r="E207" s="2">
        <v>38268</v>
      </c>
      <c r="F207" t="s">
        <v>119</v>
      </c>
      <c r="G207" t="s">
        <v>29</v>
      </c>
      <c r="H207" t="s">
        <v>14</v>
      </c>
      <c r="I207" t="s">
        <v>30</v>
      </c>
      <c r="J207">
        <f>YEAR(Table1[[#This Row],[Starting Date]])</f>
        <v>2004</v>
      </c>
    </row>
    <row r="208" spans="1:10" x14ac:dyDescent="0.3">
      <c r="A208" t="s">
        <v>460</v>
      </c>
      <c r="B208" t="s">
        <v>461</v>
      </c>
      <c r="C208" s="1">
        <v>8108649.54</v>
      </c>
      <c r="D208" t="s">
        <v>230</v>
      </c>
      <c r="E208" s="2">
        <v>38259</v>
      </c>
      <c r="F208" t="s">
        <v>119</v>
      </c>
      <c r="G208" t="s">
        <v>29</v>
      </c>
      <c r="H208" t="s">
        <v>14</v>
      </c>
      <c r="I208" t="s">
        <v>8</v>
      </c>
      <c r="J208">
        <f>YEAR(Table1[[#This Row],[Starting Date]])</f>
        <v>2004</v>
      </c>
    </row>
    <row r="209" spans="1:10" x14ac:dyDescent="0.3">
      <c r="A209" t="s">
        <v>462</v>
      </c>
      <c r="B209" t="s">
        <v>463</v>
      </c>
      <c r="C209" s="1">
        <v>21347994</v>
      </c>
      <c r="D209" t="s">
        <v>17</v>
      </c>
      <c r="E209" s="2">
        <v>37972</v>
      </c>
      <c r="F209" t="s">
        <v>119</v>
      </c>
      <c r="G209" t="s">
        <v>29</v>
      </c>
      <c r="H209" t="s">
        <v>14</v>
      </c>
      <c r="I209" t="s">
        <v>8</v>
      </c>
      <c r="J209">
        <f>YEAR(Table1[[#This Row],[Starting Date]])</f>
        <v>2003</v>
      </c>
    </row>
    <row r="210" spans="1:10" x14ac:dyDescent="0.3">
      <c r="A210" t="s">
        <v>464</v>
      </c>
      <c r="B210" t="s">
        <v>465</v>
      </c>
      <c r="C210" s="1">
        <v>28352429.899999999</v>
      </c>
      <c r="D210" t="s">
        <v>17</v>
      </c>
      <c r="E210" s="2">
        <v>37972</v>
      </c>
      <c r="F210" t="s">
        <v>12</v>
      </c>
      <c r="G210" t="s">
        <v>29</v>
      </c>
      <c r="H210" t="s">
        <v>14</v>
      </c>
      <c r="I210" t="s">
        <v>8</v>
      </c>
      <c r="J210">
        <f>YEAR(Table1[[#This Row],[Starting Date]])</f>
        <v>2003</v>
      </c>
    </row>
    <row r="211" spans="1:10" x14ac:dyDescent="0.3">
      <c r="A211" t="s">
        <v>466</v>
      </c>
      <c r="B211" t="s">
        <v>467</v>
      </c>
      <c r="C211" s="1">
        <v>7042625.4900000002</v>
      </c>
      <c r="D211" t="s">
        <v>85</v>
      </c>
      <c r="E211" s="2">
        <v>37825</v>
      </c>
      <c r="F211" t="s">
        <v>119</v>
      </c>
      <c r="G211" t="s">
        <v>29</v>
      </c>
      <c r="H211" t="s">
        <v>14</v>
      </c>
      <c r="I211" t="s">
        <v>30</v>
      </c>
      <c r="J211">
        <f>YEAR(Table1[[#This Row],[Starting Date]])</f>
        <v>2003</v>
      </c>
    </row>
    <row r="212" spans="1:10" x14ac:dyDescent="0.3">
      <c r="A212" t="s">
        <v>468</v>
      </c>
      <c r="B212" t="s">
        <v>469</v>
      </c>
      <c r="C212" s="1">
        <v>66511473.229999997</v>
      </c>
      <c r="D212" t="s">
        <v>85</v>
      </c>
      <c r="E212" s="2">
        <v>37823</v>
      </c>
      <c r="F212" t="s">
        <v>18</v>
      </c>
      <c r="G212" t="s">
        <v>29</v>
      </c>
      <c r="H212" t="s">
        <v>14</v>
      </c>
      <c r="I212" t="s">
        <v>8</v>
      </c>
      <c r="J212">
        <f>YEAR(Table1[[#This Row],[Starting Date]])</f>
        <v>2003</v>
      </c>
    </row>
    <row r="213" spans="1:10" x14ac:dyDescent="0.3">
      <c r="A213" t="s">
        <v>470</v>
      </c>
      <c r="B213" t="s">
        <v>471</v>
      </c>
      <c r="C213" s="1">
        <v>71357723.400000006</v>
      </c>
      <c r="D213" t="s">
        <v>140</v>
      </c>
      <c r="E213" s="2">
        <v>37818</v>
      </c>
      <c r="F213" t="s">
        <v>119</v>
      </c>
      <c r="G213" t="s">
        <v>29</v>
      </c>
      <c r="H213" t="s">
        <v>14</v>
      </c>
      <c r="I213" t="s">
        <v>8</v>
      </c>
      <c r="J213">
        <f>YEAR(Table1[[#This Row],[Starting Date]])</f>
        <v>2003</v>
      </c>
    </row>
    <row r="214" spans="1:10" x14ac:dyDescent="0.3">
      <c r="A214" t="s">
        <v>472</v>
      </c>
      <c r="B214" t="s">
        <v>473</v>
      </c>
      <c r="C214" s="1">
        <v>6518564.8700000001</v>
      </c>
      <c r="D214" t="s">
        <v>184</v>
      </c>
      <c r="E214" s="2">
        <v>37713</v>
      </c>
      <c r="F214" t="s">
        <v>119</v>
      </c>
      <c r="G214" t="s">
        <v>29</v>
      </c>
      <c r="H214" t="s">
        <v>14</v>
      </c>
      <c r="I214" t="s">
        <v>30</v>
      </c>
      <c r="J214">
        <f>YEAR(Table1[[#This Row],[Starting Date]])</f>
        <v>2003</v>
      </c>
    </row>
    <row r="215" spans="1:10" x14ac:dyDescent="0.3">
      <c r="A215" t="s">
        <v>474</v>
      </c>
      <c r="B215" t="s">
        <v>475</v>
      </c>
      <c r="C215" s="1">
        <v>31575212.489999998</v>
      </c>
      <c r="D215" t="s">
        <v>85</v>
      </c>
      <c r="E215" s="2">
        <v>37610</v>
      </c>
      <c r="F215" t="s">
        <v>119</v>
      </c>
      <c r="G215" t="s">
        <v>29</v>
      </c>
      <c r="H215" t="s">
        <v>14</v>
      </c>
      <c r="I215" t="s">
        <v>8</v>
      </c>
      <c r="J215">
        <f>YEAR(Table1[[#This Row],[Starting Date]])</f>
        <v>2002</v>
      </c>
    </row>
    <row r="216" spans="1:10" x14ac:dyDescent="0.3">
      <c r="A216" t="s">
        <v>476</v>
      </c>
      <c r="B216" t="s">
        <v>477</v>
      </c>
      <c r="C216" s="1">
        <v>109219734.22</v>
      </c>
      <c r="D216" t="s">
        <v>52</v>
      </c>
      <c r="E216" s="2">
        <v>37602</v>
      </c>
      <c r="F216" t="s">
        <v>119</v>
      </c>
      <c r="G216" t="s">
        <v>29</v>
      </c>
      <c r="H216" t="s">
        <v>14</v>
      </c>
      <c r="I216" t="s">
        <v>8</v>
      </c>
      <c r="J216">
        <f>YEAR(Table1[[#This Row],[Starting Date]])</f>
        <v>2002</v>
      </c>
    </row>
    <row r="217" spans="1:10" x14ac:dyDescent="0.3">
      <c r="A217" t="s">
        <v>478</v>
      </c>
      <c r="B217" t="s">
        <v>479</v>
      </c>
      <c r="C217" s="1">
        <v>6518564.8700000001</v>
      </c>
      <c r="D217" t="s">
        <v>33</v>
      </c>
      <c r="E217" s="2">
        <v>37602</v>
      </c>
      <c r="F217" t="s">
        <v>119</v>
      </c>
      <c r="G217" t="s">
        <v>29</v>
      </c>
      <c r="H217" t="s">
        <v>14</v>
      </c>
      <c r="I217" t="s">
        <v>30</v>
      </c>
      <c r="J217">
        <f>YEAR(Table1[[#This Row],[Starting Date]])</f>
        <v>2002</v>
      </c>
    </row>
    <row r="218" spans="1:10" x14ac:dyDescent="0.3">
      <c r="A218" t="s">
        <v>480</v>
      </c>
      <c r="B218" t="s">
        <v>481</v>
      </c>
      <c r="C218" s="1">
        <v>41718815.189999998</v>
      </c>
      <c r="D218" t="s">
        <v>43</v>
      </c>
      <c r="E218" s="2">
        <v>37552</v>
      </c>
      <c r="F218" t="s">
        <v>119</v>
      </c>
      <c r="G218" t="s">
        <v>29</v>
      </c>
      <c r="H218" t="s">
        <v>14</v>
      </c>
      <c r="I218" t="s">
        <v>8</v>
      </c>
      <c r="J218">
        <f>YEAR(Table1[[#This Row],[Starting Date]])</f>
        <v>2002</v>
      </c>
    </row>
    <row r="219" spans="1:10" x14ac:dyDescent="0.3">
      <c r="A219" t="s">
        <v>482</v>
      </c>
      <c r="B219" t="s">
        <v>483</v>
      </c>
      <c r="C219" s="1">
        <v>103180159.93000001</v>
      </c>
      <c r="D219" t="s">
        <v>43</v>
      </c>
      <c r="E219" s="2">
        <v>37552</v>
      </c>
      <c r="F219" t="s">
        <v>119</v>
      </c>
      <c r="G219" t="s">
        <v>29</v>
      </c>
      <c r="H219" t="s">
        <v>14</v>
      </c>
      <c r="I219" t="s">
        <v>8</v>
      </c>
      <c r="J219">
        <f>YEAR(Table1[[#This Row],[Starting Date]])</f>
        <v>2002</v>
      </c>
    </row>
    <row r="220" spans="1:10" x14ac:dyDescent="0.3">
      <c r="A220" t="s">
        <v>484</v>
      </c>
      <c r="B220" t="s">
        <v>485</v>
      </c>
      <c r="C220" s="1">
        <v>5431688.4000000004</v>
      </c>
      <c r="D220" t="s">
        <v>17</v>
      </c>
      <c r="E220" s="2">
        <v>37531</v>
      </c>
      <c r="F220" t="s">
        <v>119</v>
      </c>
      <c r="G220" t="s">
        <v>13</v>
      </c>
      <c r="H220" t="s">
        <v>14</v>
      </c>
      <c r="I220" t="s">
        <v>8</v>
      </c>
      <c r="J220">
        <f>YEAR(Table1[[#This Row],[Starting Date]])</f>
        <v>2002</v>
      </c>
    </row>
    <row r="221" spans="1:10" x14ac:dyDescent="0.3">
      <c r="A221" t="s">
        <v>486</v>
      </c>
      <c r="B221" t="s">
        <v>487</v>
      </c>
      <c r="C221" s="1">
        <v>3259282.44</v>
      </c>
      <c r="D221" t="s">
        <v>219</v>
      </c>
      <c r="E221" s="2">
        <v>37447</v>
      </c>
      <c r="F221" t="s">
        <v>119</v>
      </c>
      <c r="G221" t="s">
        <v>29</v>
      </c>
      <c r="H221" t="s">
        <v>14</v>
      </c>
      <c r="I221" t="s">
        <v>30</v>
      </c>
      <c r="J221">
        <f>YEAR(Table1[[#This Row],[Starting Date]])</f>
        <v>2002</v>
      </c>
    </row>
    <row r="222" spans="1:10" x14ac:dyDescent="0.3">
      <c r="A222" t="s">
        <v>488</v>
      </c>
      <c r="B222" t="s">
        <v>489</v>
      </c>
      <c r="C222" s="1">
        <v>26409845.59</v>
      </c>
      <c r="D222" t="s">
        <v>85</v>
      </c>
      <c r="E222" s="2">
        <v>37447</v>
      </c>
      <c r="F222" t="s">
        <v>119</v>
      </c>
      <c r="G222" t="s">
        <v>29</v>
      </c>
      <c r="H222" t="s">
        <v>14</v>
      </c>
      <c r="I222" t="s">
        <v>30</v>
      </c>
      <c r="J222">
        <f>YEAR(Table1[[#This Row],[Starting Date]])</f>
        <v>2002</v>
      </c>
    </row>
    <row r="223" spans="1:10" x14ac:dyDescent="0.3">
      <c r="A223" t="s">
        <v>490</v>
      </c>
      <c r="B223" t="s">
        <v>491</v>
      </c>
      <c r="C223" s="1">
        <v>21221488.989999998</v>
      </c>
      <c r="D223" t="s">
        <v>85</v>
      </c>
      <c r="E223" s="2">
        <v>37314</v>
      </c>
      <c r="F223" t="s">
        <v>18</v>
      </c>
      <c r="G223" t="s">
        <v>29</v>
      </c>
      <c r="H223" t="s">
        <v>14</v>
      </c>
      <c r="I223" t="s">
        <v>8</v>
      </c>
      <c r="J223">
        <f>YEAR(Table1[[#This Row],[Starting Date]])</f>
        <v>2002</v>
      </c>
    </row>
    <row r="224" spans="1:10" x14ac:dyDescent="0.3">
      <c r="A224" t="s">
        <v>492</v>
      </c>
      <c r="B224" t="s">
        <v>493</v>
      </c>
      <c r="C224" s="1">
        <v>3487972.9</v>
      </c>
      <c r="D224" t="s">
        <v>82</v>
      </c>
      <c r="E224" s="2">
        <v>37272</v>
      </c>
      <c r="F224" t="s">
        <v>119</v>
      </c>
      <c r="G224" t="s">
        <v>13</v>
      </c>
      <c r="H224" t="s">
        <v>14</v>
      </c>
      <c r="I224" t="s">
        <v>8</v>
      </c>
      <c r="J224">
        <f>YEAR(Table1[[#This Row],[Starting Date]])</f>
        <v>2002</v>
      </c>
    </row>
    <row r="225" spans="1:10" x14ac:dyDescent="0.3">
      <c r="A225" t="s">
        <v>494</v>
      </c>
      <c r="B225" t="s">
        <v>495</v>
      </c>
      <c r="C225" s="1">
        <v>151123350.24000001</v>
      </c>
      <c r="D225" t="s">
        <v>85</v>
      </c>
      <c r="E225" s="2">
        <v>37223</v>
      </c>
      <c r="F225" t="s">
        <v>119</v>
      </c>
      <c r="G225" t="s">
        <v>29</v>
      </c>
      <c r="H225" t="s">
        <v>14</v>
      </c>
      <c r="I225" t="s">
        <v>8</v>
      </c>
      <c r="J225">
        <f>YEAR(Table1[[#This Row],[Starting Date]])</f>
        <v>2001</v>
      </c>
    </row>
    <row r="226" spans="1:10" x14ac:dyDescent="0.3">
      <c r="A226" t="s">
        <v>496</v>
      </c>
      <c r="B226" t="s">
        <v>497</v>
      </c>
      <c r="C226" s="1">
        <v>45629954.109999999</v>
      </c>
      <c r="D226" t="s">
        <v>43</v>
      </c>
      <c r="E226" s="2">
        <v>37182</v>
      </c>
      <c r="F226" t="s">
        <v>119</v>
      </c>
      <c r="G226" t="s">
        <v>29</v>
      </c>
      <c r="H226" t="s">
        <v>14</v>
      </c>
      <c r="I226" t="s">
        <v>30</v>
      </c>
      <c r="J226">
        <f>YEAR(Table1[[#This Row],[Starting Date]])</f>
        <v>2001</v>
      </c>
    </row>
    <row r="227" spans="1:10" x14ac:dyDescent="0.3">
      <c r="A227" t="s">
        <v>498</v>
      </c>
      <c r="B227" t="s">
        <v>499</v>
      </c>
      <c r="C227" s="1">
        <v>11733416.77</v>
      </c>
      <c r="D227" t="s">
        <v>100</v>
      </c>
      <c r="E227" s="2">
        <v>37182</v>
      </c>
      <c r="F227" t="s">
        <v>119</v>
      </c>
      <c r="G227" t="s">
        <v>29</v>
      </c>
      <c r="H227" t="s">
        <v>14</v>
      </c>
      <c r="I227" t="s">
        <v>30</v>
      </c>
      <c r="J227">
        <f>YEAR(Table1[[#This Row],[Starting Date]])</f>
        <v>2001</v>
      </c>
    </row>
    <row r="228" spans="1:10" x14ac:dyDescent="0.3">
      <c r="A228" t="s">
        <v>500</v>
      </c>
      <c r="B228" t="s">
        <v>501</v>
      </c>
      <c r="C228" s="1">
        <v>4865201.4800000004</v>
      </c>
      <c r="D228" t="s">
        <v>230</v>
      </c>
      <c r="E228" s="2">
        <v>37147</v>
      </c>
      <c r="F228" t="s">
        <v>119</v>
      </c>
      <c r="G228" t="s">
        <v>29</v>
      </c>
      <c r="H228" t="s">
        <v>14</v>
      </c>
      <c r="I228" t="s">
        <v>8</v>
      </c>
      <c r="J228">
        <f>YEAR(Table1[[#This Row],[Starting Date]])</f>
        <v>2001</v>
      </c>
    </row>
    <row r="229" spans="1:10" x14ac:dyDescent="0.3">
      <c r="A229" t="s">
        <v>502</v>
      </c>
      <c r="B229" t="s">
        <v>503</v>
      </c>
      <c r="C229" s="1">
        <v>19555694.620000001</v>
      </c>
      <c r="D229" t="s">
        <v>100</v>
      </c>
      <c r="E229" s="2">
        <v>36880</v>
      </c>
      <c r="F229" t="s">
        <v>119</v>
      </c>
      <c r="G229" t="s">
        <v>29</v>
      </c>
      <c r="H229" t="s">
        <v>14</v>
      </c>
      <c r="I229" t="s">
        <v>30</v>
      </c>
      <c r="J229">
        <f>YEAR(Table1[[#This Row],[Starting Date]])</f>
        <v>2000</v>
      </c>
    </row>
    <row r="230" spans="1:10" x14ac:dyDescent="0.3">
      <c r="A230" t="s">
        <v>504</v>
      </c>
      <c r="B230" t="s">
        <v>505</v>
      </c>
      <c r="C230" s="1">
        <v>17160556.27</v>
      </c>
      <c r="D230" t="s">
        <v>85</v>
      </c>
      <c r="E230" s="2">
        <v>36873</v>
      </c>
      <c r="F230" t="s">
        <v>119</v>
      </c>
      <c r="G230" t="s">
        <v>29</v>
      </c>
      <c r="H230" t="s">
        <v>14</v>
      </c>
      <c r="I230" t="s">
        <v>30</v>
      </c>
      <c r="J230">
        <f>YEAR(Table1[[#This Row],[Starting Date]])</f>
        <v>2000</v>
      </c>
    </row>
    <row r="231" spans="1:10" x14ac:dyDescent="0.3">
      <c r="A231" t="s">
        <v>506</v>
      </c>
      <c r="B231" t="s">
        <v>507</v>
      </c>
      <c r="C231" s="1">
        <v>5994692.3300000001</v>
      </c>
      <c r="D231" t="s">
        <v>71</v>
      </c>
      <c r="E231" s="2">
        <v>36846</v>
      </c>
      <c r="F231" t="s">
        <v>18</v>
      </c>
      <c r="G231" t="s">
        <v>13</v>
      </c>
      <c r="H231" t="s">
        <v>14</v>
      </c>
      <c r="I231" t="s">
        <v>30</v>
      </c>
      <c r="J231">
        <f>YEAR(Table1[[#This Row],[Starting Date]])</f>
        <v>2000</v>
      </c>
    </row>
    <row r="232" spans="1:10" x14ac:dyDescent="0.3">
      <c r="A232" t="s">
        <v>508</v>
      </c>
      <c r="B232" t="s">
        <v>509</v>
      </c>
      <c r="C232" s="1">
        <v>3470511.96</v>
      </c>
      <c r="D232" t="s">
        <v>219</v>
      </c>
      <c r="E232" s="2">
        <v>36810</v>
      </c>
      <c r="F232" t="s">
        <v>119</v>
      </c>
      <c r="G232" t="s">
        <v>13</v>
      </c>
      <c r="H232" t="s">
        <v>14</v>
      </c>
      <c r="I232" t="s">
        <v>8</v>
      </c>
      <c r="J232">
        <f>YEAR(Table1[[#This Row],[Starting Date]])</f>
        <v>2000</v>
      </c>
    </row>
    <row r="233" spans="1:10" x14ac:dyDescent="0.3">
      <c r="A233" t="s">
        <v>510</v>
      </c>
      <c r="B233" t="s">
        <v>511</v>
      </c>
      <c r="C233" s="1">
        <v>71642988.659999996</v>
      </c>
      <c r="D233" t="s">
        <v>140</v>
      </c>
      <c r="E233" s="2">
        <v>36705</v>
      </c>
      <c r="F233" t="s">
        <v>119</v>
      </c>
      <c r="G233" t="s">
        <v>29</v>
      </c>
      <c r="H233" t="s">
        <v>14</v>
      </c>
      <c r="I233" t="s">
        <v>30</v>
      </c>
      <c r="J233">
        <f>YEAR(Table1[[#This Row],[Starting Date]])</f>
        <v>2000</v>
      </c>
    </row>
    <row r="234" spans="1:10" x14ac:dyDescent="0.3">
      <c r="A234" t="s">
        <v>512</v>
      </c>
      <c r="B234" t="s">
        <v>513</v>
      </c>
      <c r="C234" s="1">
        <v>63954077.850000001</v>
      </c>
      <c r="D234" t="s">
        <v>85</v>
      </c>
      <c r="E234" s="2">
        <v>36663</v>
      </c>
      <c r="F234" t="s">
        <v>119</v>
      </c>
      <c r="G234" t="s">
        <v>29</v>
      </c>
      <c r="H234" t="s">
        <v>14</v>
      </c>
      <c r="I234" t="s">
        <v>30</v>
      </c>
      <c r="J234">
        <f>YEAR(Table1[[#This Row],[Starting Date]])</f>
        <v>2000</v>
      </c>
    </row>
    <row r="235" spans="1:10" x14ac:dyDescent="0.3">
      <c r="A235" t="s">
        <v>514</v>
      </c>
      <c r="B235" t="s">
        <v>515</v>
      </c>
      <c r="C235" s="1">
        <v>3892161.19</v>
      </c>
      <c r="D235" t="s">
        <v>230</v>
      </c>
      <c r="E235" s="2">
        <v>36507</v>
      </c>
      <c r="F235" t="s">
        <v>119</v>
      </c>
      <c r="G235" t="s">
        <v>29</v>
      </c>
      <c r="H235" t="s">
        <v>14</v>
      </c>
      <c r="I235" t="s">
        <v>8</v>
      </c>
      <c r="J235">
        <f>YEAR(Table1[[#This Row],[Starting Date]])</f>
        <v>1999</v>
      </c>
    </row>
    <row r="236" spans="1:10" x14ac:dyDescent="0.3">
      <c r="A236" t="s">
        <v>516</v>
      </c>
      <c r="B236" t="s">
        <v>517</v>
      </c>
      <c r="C236" s="1">
        <v>30578234.41</v>
      </c>
      <c r="D236" t="s">
        <v>140</v>
      </c>
      <c r="E236" s="2">
        <v>36474</v>
      </c>
      <c r="F236" t="s">
        <v>119</v>
      </c>
      <c r="G236" t="s">
        <v>29</v>
      </c>
      <c r="H236" t="s">
        <v>14</v>
      </c>
      <c r="I236" t="s">
        <v>30</v>
      </c>
      <c r="J236">
        <f>YEAR(Table1[[#This Row],[Starting Date]])</f>
        <v>1999</v>
      </c>
    </row>
    <row r="237" spans="1:10" x14ac:dyDescent="0.3">
      <c r="A237" t="s">
        <v>518</v>
      </c>
      <c r="B237" t="s">
        <v>519</v>
      </c>
      <c r="C237" s="1">
        <v>17422941.280000001</v>
      </c>
      <c r="D237" t="s">
        <v>17</v>
      </c>
      <c r="E237" s="2">
        <v>36439</v>
      </c>
      <c r="F237" t="s">
        <v>119</v>
      </c>
      <c r="G237" t="s">
        <v>29</v>
      </c>
      <c r="H237" t="s">
        <v>14</v>
      </c>
      <c r="I237" t="s">
        <v>30</v>
      </c>
      <c r="J237">
        <f>YEAR(Table1[[#This Row],[Starting Date]])</f>
        <v>1999</v>
      </c>
    </row>
    <row r="238" spans="1:10" x14ac:dyDescent="0.3">
      <c r="A238" t="s">
        <v>520</v>
      </c>
      <c r="B238" t="s">
        <v>521</v>
      </c>
      <c r="C238" s="1">
        <v>731716.46</v>
      </c>
      <c r="D238" t="s">
        <v>235</v>
      </c>
      <c r="E238" s="2">
        <v>36348</v>
      </c>
      <c r="F238" t="s">
        <v>189</v>
      </c>
      <c r="G238" t="s">
        <v>29</v>
      </c>
      <c r="H238" t="s">
        <v>14</v>
      </c>
      <c r="I238" t="s">
        <v>8</v>
      </c>
      <c r="J238">
        <f>YEAR(Table1[[#This Row],[Starting Date]])</f>
        <v>1999</v>
      </c>
    </row>
    <row r="239" spans="1:10" x14ac:dyDescent="0.3">
      <c r="A239" t="s">
        <v>522</v>
      </c>
      <c r="B239" t="s">
        <v>523</v>
      </c>
      <c r="C239" s="1">
        <v>91804208.390000001</v>
      </c>
      <c r="D239" t="s">
        <v>85</v>
      </c>
      <c r="E239" s="2">
        <v>36236</v>
      </c>
      <c r="F239" t="s">
        <v>119</v>
      </c>
      <c r="G239" t="s">
        <v>29</v>
      </c>
      <c r="H239" t="s">
        <v>14</v>
      </c>
      <c r="I239" t="s">
        <v>8</v>
      </c>
      <c r="J239">
        <f>YEAR(Table1[[#This Row],[Starting Date]])</f>
        <v>1999</v>
      </c>
    </row>
    <row r="240" spans="1:10" x14ac:dyDescent="0.3">
      <c r="A240" t="s">
        <v>524</v>
      </c>
      <c r="B240" t="s">
        <v>525</v>
      </c>
      <c r="C240" s="1">
        <v>129175490.84</v>
      </c>
      <c r="D240" t="s">
        <v>52</v>
      </c>
      <c r="E240" s="2">
        <v>35753</v>
      </c>
      <c r="F240" t="s">
        <v>119</v>
      </c>
      <c r="G240" t="s">
        <v>29</v>
      </c>
      <c r="H240" t="s">
        <v>14</v>
      </c>
      <c r="I240" t="s">
        <v>8</v>
      </c>
      <c r="J240">
        <f>YEAR(Table1[[#This Row],[Starting Date]])</f>
        <v>1997</v>
      </c>
    </row>
    <row r="241" spans="1:10" x14ac:dyDescent="0.3">
      <c r="A241" t="s">
        <v>526</v>
      </c>
      <c r="B241" t="s">
        <v>527</v>
      </c>
      <c r="C241" s="1">
        <v>217561512.28</v>
      </c>
      <c r="D241" t="s">
        <v>85</v>
      </c>
      <c r="E241" s="2">
        <v>35753</v>
      </c>
      <c r="F241" t="s">
        <v>119</v>
      </c>
      <c r="G241" t="s">
        <v>29</v>
      </c>
      <c r="H241" t="s">
        <v>14</v>
      </c>
      <c r="I241" t="s">
        <v>30</v>
      </c>
      <c r="J241">
        <f>YEAR(Table1[[#This Row],[Starting Date]])</f>
        <v>1997</v>
      </c>
    </row>
    <row r="242" spans="1:10" x14ac:dyDescent="0.3">
      <c r="A242" t="s">
        <v>528</v>
      </c>
      <c r="B242" t="s">
        <v>529</v>
      </c>
      <c r="C242" s="1">
        <v>7386344.9900000002</v>
      </c>
      <c r="D242" t="s">
        <v>33</v>
      </c>
      <c r="E242" s="2">
        <v>35416</v>
      </c>
      <c r="F242" t="s">
        <v>119</v>
      </c>
      <c r="G242" t="s">
        <v>13</v>
      </c>
      <c r="H242" t="s">
        <v>14</v>
      </c>
      <c r="I242" t="s">
        <v>8</v>
      </c>
      <c r="J242">
        <f>YEAR(Table1[[#This Row],[Starting Date]])</f>
        <v>1996</v>
      </c>
    </row>
    <row r="243" spans="1:10" x14ac:dyDescent="0.3">
      <c r="A243" t="s">
        <v>530</v>
      </c>
      <c r="B243" t="s">
        <v>531</v>
      </c>
      <c r="C243" s="1">
        <v>1346291.02</v>
      </c>
      <c r="D243" t="s">
        <v>532</v>
      </c>
      <c r="E243" s="2">
        <v>35411</v>
      </c>
      <c r="F243" t="s">
        <v>119</v>
      </c>
      <c r="G243" t="s">
        <v>13</v>
      </c>
      <c r="H243" t="s">
        <v>14</v>
      </c>
      <c r="I243" t="s">
        <v>8</v>
      </c>
      <c r="J243">
        <f>YEAR(Table1[[#This Row],[Starting Date]])</f>
        <v>1996</v>
      </c>
    </row>
    <row r="244" spans="1:10" x14ac:dyDescent="0.3">
      <c r="A244" t="s">
        <v>533</v>
      </c>
      <c r="B244" t="s">
        <v>534</v>
      </c>
      <c r="C244" s="1">
        <v>87461145.209999993</v>
      </c>
      <c r="D244" t="s">
        <v>317</v>
      </c>
      <c r="E244" s="2">
        <v>35409</v>
      </c>
      <c r="F244" t="s">
        <v>119</v>
      </c>
      <c r="G244" t="s">
        <v>29</v>
      </c>
      <c r="H244" t="s">
        <v>14</v>
      </c>
      <c r="I244" t="s">
        <v>8</v>
      </c>
      <c r="J244">
        <f>YEAR(Table1[[#This Row],[Starting Date]])</f>
        <v>1996</v>
      </c>
    </row>
    <row r="245" spans="1:10" x14ac:dyDescent="0.3">
      <c r="A245" t="s">
        <v>535</v>
      </c>
      <c r="B245" t="s">
        <v>536</v>
      </c>
      <c r="C245" s="1">
        <v>150000000</v>
      </c>
      <c r="D245" t="s">
        <v>52</v>
      </c>
      <c r="E245" s="2">
        <v>35025</v>
      </c>
      <c r="F245" t="s">
        <v>119</v>
      </c>
      <c r="G245" t="s">
        <v>29</v>
      </c>
      <c r="H245" t="s">
        <v>14</v>
      </c>
      <c r="I245" t="s">
        <v>8</v>
      </c>
      <c r="J245">
        <f>YEAR(Table1[[#This Row],[Starting Date]])</f>
        <v>1995</v>
      </c>
    </row>
    <row r="246" spans="1:10" x14ac:dyDescent="0.3">
      <c r="A246" t="s">
        <v>537</v>
      </c>
      <c r="B246" t="s">
        <v>538</v>
      </c>
      <c r="C246" s="1">
        <v>3159504.3</v>
      </c>
      <c r="D246" t="s">
        <v>539</v>
      </c>
      <c r="E246" s="2">
        <v>34683</v>
      </c>
      <c r="F246" t="s">
        <v>119</v>
      </c>
      <c r="G246" t="s">
        <v>540</v>
      </c>
      <c r="H246" t="s">
        <v>14</v>
      </c>
      <c r="I246" t="s">
        <v>8</v>
      </c>
      <c r="J246">
        <f>YEAR(Table1[[#This Row],[Starting Date]])</f>
        <v>1994</v>
      </c>
    </row>
    <row r="247" spans="1:10" x14ac:dyDescent="0.3">
      <c r="A247" t="s">
        <v>541</v>
      </c>
      <c r="B247" t="s">
        <v>542</v>
      </c>
      <c r="C247" s="1">
        <v>15032246.439999999</v>
      </c>
      <c r="D247" t="s">
        <v>17</v>
      </c>
      <c r="E247" s="2">
        <v>34571</v>
      </c>
      <c r="F247" t="s">
        <v>119</v>
      </c>
      <c r="G247" t="s">
        <v>29</v>
      </c>
      <c r="H247" t="s">
        <v>14</v>
      </c>
      <c r="I247" t="s">
        <v>30</v>
      </c>
      <c r="J247">
        <f>YEAR(Table1[[#This Row],[Starting Date]])</f>
        <v>1994</v>
      </c>
    </row>
    <row r="248" spans="1:10" x14ac:dyDescent="0.3">
      <c r="A248" t="s">
        <v>543</v>
      </c>
      <c r="B248" t="s">
        <v>544</v>
      </c>
      <c r="C248" s="1">
        <v>11561466.630000001</v>
      </c>
      <c r="D248" t="s">
        <v>85</v>
      </c>
      <c r="E248" s="2">
        <v>34451</v>
      </c>
      <c r="F248" t="s">
        <v>119</v>
      </c>
      <c r="G248" t="s">
        <v>29</v>
      </c>
      <c r="H248" t="s">
        <v>14</v>
      </c>
      <c r="I248" t="s">
        <v>8</v>
      </c>
      <c r="J248">
        <f>YEAR(Table1[[#This Row],[Starting Date]])</f>
        <v>1994</v>
      </c>
    </row>
    <row r="249" spans="1:10" x14ac:dyDescent="0.3">
      <c r="A249" t="s">
        <v>545</v>
      </c>
      <c r="B249" t="s">
        <v>546</v>
      </c>
      <c r="C249" s="1">
        <v>12010952.689999999</v>
      </c>
      <c r="D249" t="s">
        <v>85</v>
      </c>
      <c r="E249" s="2">
        <v>34451</v>
      </c>
      <c r="F249" t="s">
        <v>119</v>
      </c>
      <c r="G249" t="s">
        <v>29</v>
      </c>
      <c r="H249" t="s">
        <v>14</v>
      </c>
      <c r="I249" t="s">
        <v>8</v>
      </c>
      <c r="J249">
        <f>YEAR(Table1[[#This Row],[Starting Date]])</f>
        <v>1994</v>
      </c>
    </row>
    <row r="250" spans="1:10" x14ac:dyDescent="0.3">
      <c r="A250" t="s">
        <v>547</v>
      </c>
      <c r="B250" t="s">
        <v>548</v>
      </c>
      <c r="C250" s="1">
        <v>12402757.98</v>
      </c>
      <c r="D250" t="s">
        <v>85</v>
      </c>
      <c r="E250" s="2">
        <v>34451</v>
      </c>
      <c r="F250" t="s">
        <v>119</v>
      </c>
      <c r="G250" t="s">
        <v>29</v>
      </c>
      <c r="H250" t="s">
        <v>14</v>
      </c>
      <c r="I250" t="s">
        <v>8</v>
      </c>
      <c r="J250">
        <f>YEAR(Table1[[#This Row],[Starting Date]])</f>
        <v>1994</v>
      </c>
    </row>
    <row r="251" spans="1:10" x14ac:dyDescent="0.3">
      <c r="A251" t="s">
        <v>549</v>
      </c>
      <c r="B251" t="s">
        <v>550</v>
      </c>
      <c r="C251" s="1">
        <v>6573622.6399999997</v>
      </c>
      <c r="D251" t="s">
        <v>85</v>
      </c>
      <c r="E251" s="2">
        <v>34451</v>
      </c>
      <c r="F251" t="s">
        <v>119</v>
      </c>
      <c r="G251" t="s">
        <v>29</v>
      </c>
      <c r="H251" t="s">
        <v>14</v>
      </c>
      <c r="I251" t="s">
        <v>8</v>
      </c>
      <c r="J251">
        <f>YEAR(Table1[[#This Row],[Starting Date]])</f>
        <v>1994</v>
      </c>
    </row>
    <row r="252" spans="1:10" x14ac:dyDescent="0.3">
      <c r="A252" t="s">
        <v>551</v>
      </c>
      <c r="B252" t="s">
        <v>552</v>
      </c>
      <c r="C252" s="1">
        <v>14865448.949999999</v>
      </c>
      <c r="D252" t="s">
        <v>17</v>
      </c>
      <c r="E252" s="2">
        <v>34388</v>
      </c>
      <c r="F252" t="s">
        <v>119</v>
      </c>
      <c r="G252" t="s">
        <v>29</v>
      </c>
      <c r="H252" t="s">
        <v>14</v>
      </c>
      <c r="I252" t="s">
        <v>30</v>
      </c>
      <c r="J252">
        <f>YEAR(Table1[[#This Row],[Starting Date]])</f>
        <v>1994</v>
      </c>
    </row>
    <row r="253" spans="1:10" x14ac:dyDescent="0.3">
      <c r="A253" t="s">
        <v>553</v>
      </c>
      <c r="B253" t="s">
        <v>554</v>
      </c>
      <c r="C253" s="1">
        <v>163552.73000000001</v>
      </c>
      <c r="D253" t="s">
        <v>82</v>
      </c>
      <c r="E253" s="2">
        <v>34160</v>
      </c>
      <c r="F253" t="s">
        <v>119</v>
      </c>
      <c r="G253" t="s">
        <v>13</v>
      </c>
      <c r="H253" t="s">
        <v>14</v>
      </c>
      <c r="I253" t="s">
        <v>8</v>
      </c>
      <c r="J253">
        <f>YEAR(Table1[[#This Row],[Starting Date]])</f>
        <v>1993</v>
      </c>
    </row>
    <row r="254" spans="1:10" x14ac:dyDescent="0.3">
      <c r="A254" t="s">
        <v>555</v>
      </c>
      <c r="B254" t="s">
        <v>556</v>
      </c>
      <c r="C254" s="1">
        <v>58960353.189999998</v>
      </c>
      <c r="D254" t="s">
        <v>85</v>
      </c>
      <c r="E254" s="2">
        <v>34143</v>
      </c>
      <c r="F254" t="s">
        <v>119</v>
      </c>
      <c r="G254" t="s">
        <v>29</v>
      </c>
      <c r="H254" t="s">
        <v>14</v>
      </c>
      <c r="I254" t="s">
        <v>8</v>
      </c>
      <c r="J254">
        <f>YEAR(Table1[[#This Row],[Starting Date]])</f>
        <v>1993</v>
      </c>
    </row>
    <row r="255" spans="1:10" ht="28.8" x14ac:dyDescent="0.3">
      <c r="A255" t="s">
        <v>557</v>
      </c>
      <c r="B255" s="3" t="s">
        <v>558</v>
      </c>
      <c r="C255" s="1">
        <v>43406329.899999999</v>
      </c>
      <c r="D255" t="s">
        <v>52</v>
      </c>
      <c r="E255" s="2">
        <v>34095</v>
      </c>
      <c r="F255" t="s">
        <v>119</v>
      </c>
      <c r="G255" t="s">
        <v>29</v>
      </c>
      <c r="H255" t="s">
        <v>14</v>
      </c>
      <c r="I255" t="s">
        <v>30</v>
      </c>
      <c r="J255">
        <f>YEAR(Table1[[#This Row],[Starting Date]])</f>
        <v>1993</v>
      </c>
    </row>
    <row r="256" spans="1:10" x14ac:dyDescent="0.3">
      <c r="A256" t="s">
        <v>559</v>
      </c>
      <c r="B256" t="s">
        <v>560</v>
      </c>
      <c r="C256" s="1">
        <v>27457415.989999998</v>
      </c>
      <c r="D256" t="s">
        <v>202</v>
      </c>
      <c r="E256" s="2">
        <v>33749</v>
      </c>
      <c r="F256" t="s">
        <v>119</v>
      </c>
      <c r="G256" t="s">
        <v>13</v>
      </c>
      <c r="H256" t="s">
        <v>14</v>
      </c>
      <c r="I256" t="s">
        <v>8</v>
      </c>
      <c r="J256">
        <f>YEAR(Table1[[#This Row],[Starting Date]])</f>
        <v>1992</v>
      </c>
    </row>
    <row r="257" spans="1:10" x14ac:dyDescent="0.3">
      <c r="A257" t="s">
        <v>561</v>
      </c>
      <c r="B257" t="s">
        <v>562</v>
      </c>
      <c r="C257" s="1">
        <v>75000000</v>
      </c>
      <c r="D257" t="s">
        <v>52</v>
      </c>
      <c r="E257" s="2">
        <v>33630</v>
      </c>
      <c r="F257" t="s">
        <v>119</v>
      </c>
      <c r="G257" t="s">
        <v>29</v>
      </c>
      <c r="H257" t="s">
        <v>14</v>
      </c>
      <c r="I257" t="s">
        <v>8</v>
      </c>
      <c r="J257">
        <f>YEAR(Table1[[#This Row],[Starting Date]])</f>
        <v>1992</v>
      </c>
    </row>
    <row r="258" spans="1:10" x14ac:dyDescent="0.3">
      <c r="A258" t="s">
        <v>563</v>
      </c>
      <c r="B258" t="s">
        <v>564</v>
      </c>
      <c r="C258" s="1">
        <v>119999773.09</v>
      </c>
      <c r="D258" t="s">
        <v>85</v>
      </c>
      <c r="E258" s="2">
        <v>33630</v>
      </c>
      <c r="F258" t="s">
        <v>119</v>
      </c>
      <c r="G258" t="s">
        <v>29</v>
      </c>
      <c r="H258" t="s">
        <v>14</v>
      </c>
      <c r="I258" t="s">
        <v>8</v>
      </c>
      <c r="J258">
        <f>YEAR(Table1[[#This Row],[Starting Date]])</f>
        <v>1992</v>
      </c>
    </row>
    <row r="259" spans="1:10" x14ac:dyDescent="0.3">
      <c r="A259" t="s">
        <v>565</v>
      </c>
      <c r="B259" t="s">
        <v>566</v>
      </c>
      <c r="C259" s="1">
        <v>2148936.0299999998</v>
      </c>
      <c r="D259" t="s">
        <v>82</v>
      </c>
      <c r="E259" s="2">
        <v>33541</v>
      </c>
      <c r="F259" t="s">
        <v>119</v>
      </c>
      <c r="G259" t="s">
        <v>13</v>
      </c>
      <c r="H259" t="s">
        <v>14</v>
      </c>
      <c r="I259" t="s">
        <v>8</v>
      </c>
      <c r="J259">
        <f>YEAR(Table1[[#This Row],[Starting Date]])</f>
        <v>1991</v>
      </c>
    </row>
    <row r="260" spans="1:10" x14ac:dyDescent="0.3">
      <c r="A260" t="s">
        <v>567</v>
      </c>
      <c r="B260" t="s">
        <v>568</v>
      </c>
      <c r="C260" s="1">
        <v>30000000</v>
      </c>
      <c r="D260" t="s">
        <v>52</v>
      </c>
      <c r="E260" s="2">
        <v>33540</v>
      </c>
      <c r="F260" t="s">
        <v>119</v>
      </c>
      <c r="G260" t="s">
        <v>29</v>
      </c>
      <c r="H260" t="s">
        <v>14</v>
      </c>
      <c r="I260" t="s">
        <v>8</v>
      </c>
      <c r="J260">
        <f>YEAR(Table1[[#This Row],[Starting Date]])</f>
        <v>1991</v>
      </c>
    </row>
    <row r="261" spans="1:10" x14ac:dyDescent="0.3">
      <c r="A261" t="s">
        <v>569</v>
      </c>
      <c r="B261" t="s">
        <v>570</v>
      </c>
      <c r="C261" s="1">
        <v>13352594.92</v>
      </c>
      <c r="D261" t="s">
        <v>52</v>
      </c>
      <c r="E261" s="2">
        <v>33540</v>
      </c>
      <c r="F261" t="s">
        <v>119</v>
      </c>
      <c r="G261" t="s">
        <v>29</v>
      </c>
      <c r="H261" t="s">
        <v>14</v>
      </c>
      <c r="I261" t="s">
        <v>8</v>
      </c>
      <c r="J261">
        <f>YEAR(Table1[[#This Row],[Starting Date]])</f>
        <v>1991</v>
      </c>
    </row>
    <row r="262" spans="1:10" x14ac:dyDescent="0.3">
      <c r="A262" t="s">
        <v>571</v>
      </c>
      <c r="B262" t="s">
        <v>572</v>
      </c>
      <c r="C262" s="1">
        <v>5026499.32</v>
      </c>
      <c r="D262" t="s">
        <v>52</v>
      </c>
      <c r="E262" s="2">
        <v>33540</v>
      </c>
      <c r="F262" t="s">
        <v>119</v>
      </c>
      <c r="G262" t="s">
        <v>29</v>
      </c>
      <c r="H262" t="s">
        <v>14</v>
      </c>
      <c r="I262" t="s">
        <v>8</v>
      </c>
      <c r="J262">
        <f>YEAR(Table1[[#This Row],[Starting Date]])</f>
        <v>1991</v>
      </c>
    </row>
    <row r="263" spans="1:10" x14ac:dyDescent="0.3">
      <c r="A263" t="s">
        <v>573</v>
      </c>
      <c r="B263" t="s">
        <v>574</v>
      </c>
      <c r="C263" s="1">
        <v>7871217.8300000001</v>
      </c>
      <c r="D263" t="s">
        <v>52</v>
      </c>
      <c r="E263" s="2">
        <v>33540</v>
      </c>
      <c r="F263" t="s">
        <v>119</v>
      </c>
      <c r="G263" t="s">
        <v>29</v>
      </c>
      <c r="H263" t="s">
        <v>14</v>
      </c>
      <c r="I263" t="s">
        <v>8</v>
      </c>
      <c r="J263">
        <f>YEAR(Table1[[#This Row],[Starting Date]])</f>
        <v>1991</v>
      </c>
    </row>
    <row r="264" spans="1:10" x14ac:dyDescent="0.3">
      <c r="A264" t="s">
        <v>575</v>
      </c>
      <c r="B264" t="s">
        <v>576</v>
      </c>
      <c r="C264" s="1">
        <v>3999846.18</v>
      </c>
      <c r="D264" t="s">
        <v>235</v>
      </c>
      <c r="E264" s="2">
        <v>33540</v>
      </c>
      <c r="F264" t="s">
        <v>119</v>
      </c>
      <c r="G264" t="s">
        <v>29</v>
      </c>
      <c r="H264" t="s">
        <v>14</v>
      </c>
      <c r="I264" t="s">
        <v>30</v>
      </c>
      <c r="J264">
        <f>YEAR(Table1[[#This Row],[Starting Date]])</f>
        <v>1991</v>
      </c>
    </row>
    <row r="265" spans="1:10" x14ac:dyDescent="0.3">
      <c r="A265" t="s">
        <v>577</v>
      </c>
      <c r="B265" t="s">
        <v>578</v>
      </c>
      <c r="C265" s="1">
        <v>13815780</v>
      </c>
      <c r="D265" t="s">
        <v>33</v>
      </c>
      <c r="E265" s="2">
        <v>33478</v>
      </c>
      <c r="F265" t="s">
        <v>119</v>
      </c>
      <c r="G265" t="s">
        <v>13</v>
      </c>
      <c r="H265" t="s">
        <v>14</v>
      </c>
      <c r="I265" t="s">
        <v>8</v>
      </c>
      <c r="J265">
        <f>YEAR(Table1[[#This Row],[Starting Date]])</f>
        <v>1991</v>
      </c>
    </row>
    <row r="266" spans="1:10" x14ac:dyDescent="0.3">
      <c r="A266" t="s">
        <v>579</v>
      </c>
      <c r="B266" t="s">
        <v>580</v>
      </c>
      <c r="C266" s="1">
        <v>24902158.079999998</v>
      </c>
      <c r="D266" t="s">
        <v>85</v>
      </c>
      <c r="E266" s="2">
        <v>33406</v>
      </c>
      <c r="F266" t="s">
        <v>119</v>
      </c>
      <c r="G266" t="s">
        <v>29</v>
      </c>
      <c r="H266" t="s">
        <v>14</v>
      </c>
      <c r="I266" t="s">
        <v>8</v>
      </c>
      <c r="J266">
        <f>YEAR(Table1[[#This Row],[Starting Date]])</f>
        <v>1991</v>
      </c>
    </row>
    <row r="267" spans="1:10" x14ac:dyDescent="0.3">
      <c r="A267" t="s">
        <v>581</v>
      </c>
      <c r="B267" t="s">
        <v>582</v>
      </c>
      <c r="C267" s="1">
        <v>19845430.59</v>
      </c>
      <c r="D267" t="s">
        <v>85</v>
      </c>
      <c r="E267" s="2">
        <v>33406</v>
      </c>
      <c r="F267" t="s">
        <v>119</v>
      </c>
      <c r="G267" t="s">
        <v>29</v>
      </c>
      <c r="H267" t="s">
        <v>14</v>
      </c>
      <c r="I267" t="s">
        <v>8</v>
      </c>
      <c r="J267">
        <f>YEAR(Table1[[#This Row],[Starting Date]])</f>
        <v>1991</v>
      </c>
    </row>
    <row r="268" spans="1:10" x14ac:dyDescent="0.3">
      <c r="A268" t="s">
        <v>583</v>
      </c>
      <c r="B268" t="s">
        <v>584</v>
      </c>
      <c r="C268" s="1">
        <v>20006119.690000001</v>
      </c>
      <c r="D268" t="s">
        <v>85</v>
      </c>
      <c r="E268" s="2">
        <v>33406</v>
      </c>
      <c r="F268" t="s">
        <v>119</v>
      </c>
      <c r="G268" t="s">
        <v>29</v>
      </c>
      <c r="H268" t="s">
        <v>14</v>
      </c>
      <c r="I268" t="s">
        <v>8</v>
      </c>
      <c r="J268">
        <f>YEAR(Table1[[#This Row],[Starting Date]])</f>
        <v>1991</v>
      </c>
    </row>
    <row r="269" spans="1:10" x14ac:dyDescent="0.3">
      <c r="A269" t="s">
        <v>585</v>
      </c>
      <c r="B269" t="s">
        <v>586</v>
      </c>
      <c r="C269" s="1">
        <v>34997325.880000003</v>
      </c>
      <c r="D269" t="s">
        <v>85</v>
      </c>
      <c r="E269" s="2">
        <v>33406</v>
      </c>
      <c r="F269" t="s">
        <v>119</v>
      </c>
      <c r="G269" t="s">
        <v>29</v>
      </c>
      <c r="H269" t="s">
        <v>14</v>
      </c>
      <c r="I269" t="s">
        <v>8</v>
      </c>
      <c r="J269">
        <f>YEAR(Table1[[#This Row],[Starting Date]])</f>
        <v>1991</v>
      </c>
    </row>
    <row r="270" spans="1:10" x14ac:dyDescent="0.3">
      <c r="A270" t="s">
        <v>587</v>
      </c>
      <c r="B270" t="s">
        <v>588</v>
      </c>
      <c r="C270" s="1">
        <v>610041.34</v>
      </c>
      <c r="D270" t="s">
        <v>589</v>
      </c>
      <c r="E270" s="2">
        <v>33267</v>
      </c>
      <c r="F270" t="s">
        <v>119</v>
      </c>
      <c r="G270" t="s">
        <v>13</v>
      </c>
      <c r="H270" t="s">
        <v>14</v>
      </c>
      <c r="I270" t="s">
        <v>8</v>
      </c>
      <c r="J270">
        <f>YEAR(Table1[[#This Row],[Starting Date]])</f>
        <v>1991</v>
      </c>
    </row>
    <row r="271" spans="1:10" x14ac:dyDescent="0.3">
      <c r="A271" t="s">
        <v>590</v>
      </c>
      <c r="B271" t="s">
        <v>591</v>
      </c>
      <c r="C271" s="1">
        <v>16155010.029999999</v>
      </c>
      <c r="D271" t="s">
        <v>112</v>
      </c>
      <c r="E271" s="2">
        <v>33198</v>
      </c>
      <c r="F271" t="s">
        <v>119</v>
      </c>
      <c r="G271" t="s">
        <v>29</v>
      </c>
      <c r="H271" t="s">
        <v>14</v>
      </c>
      <c r="I271" t="s">
        <v>30</v>
      </c>
      <c r="J271">
        <f>YEAR(Table1[[#This Row],[Starting Date]])</f>
        <v>1990</v>
      </c>
    </row>
    <row r="272" spans="1:10" x14ac:dyDescent="0.3">
      <c r="A272" t="s">
        <v>592</v>
      </c>
      <c r="B272" t="s">
        <v>593</v>
      </c>
      <c r="C272" s="1">
        <v>30000000</v>
      </c>
      <c r="D272" t="s">
        <v>85</v>
      </c>
      <c r="E272" s="2">
        <v>33114</v>
      </c>
      <c r="F272" t="s">
        <v>119</v>
      </c>
      <c r="G272" t="s">
        <v>29</v>
      </c>
      <c r="H272" t="s">
        <v>14</v>
      </c>
      <c r="I272" t="s">
        <v>8</v>
      </c>
      <c r="J272">
        <f>YEAR(Table1[[#This Row],[Starting Date]])</f>
        <v>1990</v>
      </c>
    </row>
    <row r="273" spans="1:10" x14ac:dyDescent="0.3">
      <c r="A273" t="s">
        <v>594</v>
      </c>
      <c r="B273" t="s">
        <v>595</v>
      </c>
      <c r="C273" s="1">
        <v>60000000</v>
      </c>
      <c r="D273" t="s">
        <v>85</v>
      </c>
      <c r="E273" s="2">
        <v>33035</v>
      </c>
      <c r="F273" t="s">
        <v>119</v>
      </c>
      <c r="G273" t="s">
        <v>29</v>
      </c>
      <c r="H273" t="s">
        <v>14</v>
      </c>
      <c r="I273" t="s">
        <v>8</v>
      </c>
      <c r="J273">
        <f>YEAR(Table1[[#This Row],[Starting Date]])</f>
        <v>1990</v>
      </c>
    </row>
    <row r="274" spans="1:10" x14ac:dyDescent="0.3">
      <c r="A274" t="s">
        <v>596</v>
      </c>
      <c r="B274" t="s">
        <v>597</v>
      </c>
      <c r="C274" s="1">
        <v>8142172.4800000004</v>
      </c>
      <c r="D274" t="s">
        <v>205</v>
      </c>
      <c r="E274" s="2">
        <v>32919</v>
      </c>
      <c r="F274" t="s">
        <v>119</v>
      </c>
      <c r="G274" t="s">
        <v>29</v>
      </c>
      <c r="H274" t="s">
        <v>14</v>
      </c>
      <c r="I274" t="s">
        <v>8</v>
      </c>
      <c r="J274">
        <f>YEAR(Table1[[#This Row],[Starting Date]])</f>
        <v>1990</v>
      </c>
    </row>
    <row r="275" spans="1:10" x14ac:dyDescent="0.3">
      <c r="A275" t="s">
        <v>598</v>
      </c>
      <c r="B275" t="s">
        <v>599</v>
      </c>
      <c r="C275" s="1">
        <v>964341.44</v>
      </c>
      <c r="D275" t="s">
        <v>46</v>
      </c>
      <c r="E275" s="2">
        <v>32833</v>
      </c>
      <c r="F275" t="s">
        <v>119</v>
      </c>
      <c r="G275" t="s">
        <v>13</v>
      </c>
      <c r="H275" t="s">
        <v>14</v>
      </c>
      <c r="I275" t="s">
        <v>8</v>
      </c>
      <c r="J275">
        <f>YEAR(Table1[[#This Row],[Starting Date]])</f>
        <v>1989</v>
      </c>
    </row>
    <row r="276" spans="1:10" x14ac:dyDescent="0.3">
      <c r="A276" t="s">
        <v>600</v>
      </c>
      <c r="B276" t="s">
        <v>601</v>
      </c>
      <c r="C276" s="1">
        <v>778529.51</v>
      </c>
      <c r="D276" t="s">
        <v>28</v>
      </c>
      <c r="E276" s="2">
        <v>32798</v>
      </c>
      <c r="F276" t="s">
        <v>119</v>
      </c>
      <c r="G276" t="s">
        <v>13</v>
      </c>
      <c r="H276" t="s">
        <v>14</v>
      </c>
      <c r="I276" t="s">
        <v>8</v>
      </c>
      <c r="J276">
        <f>YEAR(Table1[[#This Row],[Starting Date]])</f>
        <v>1989</v>
      </c>
    </row>
    <row r="277" spans="1:10" x14ac:dyDescent="0.3">
      <c r="A277" t="s">
        <v>602</v>
      </c>
      <c r="B277" t="s">
        <v>603</v>
      </c>
      <c r="C277" s="1">
        <v>5628545.8700000001</v>
      </c>
      <c r="D277" t="s">
        <v>71</v>
      </c>
      <c r="E277" s="2">
        <v>32671</v>
      </c>
      <c r="F277" t="s">
        <v>119</v>
      </c>
      <c r="G277" t="s">
        <v>29</v>
      </c>
      <c r="H277" t="s">
        <v>14</v>
      </c>
      <c r="I277" t="s">
        <v>8</v>
      </c>
      <c r="J277">
        <f>YEAR(Table1[[#This Row],[Starting Date]])</f>
        <v>1989</v>
      </c>
    </row>
    <row r="278" spans="1:10" x14ac:dyDescent="0.3">
      <c r="A278" t="s">
        <v>604</v>
      </c>
      <c r="B278" t="s">
        <v>605</v>
      </c>
      <c r="C278" s="1">
        <v>69644669.079999998</v>
      </c>
      <c r="D278" t="s">
        <v>100</v>
      </c>
      <c r="E278" s="2">
        <v>32590</v>
      </c>
      <c r="F278" t="s">
        <v>119</v>
      </c>
      <c r="G278" t="s">
        <v>29</v>
      </c>
      <c r="H278" t="s">
        <v>14</v>
      </c>
      <c r="I278" t="s">
        <v>30</v>
      </c>
      <c r="J278">
        <f>YEAR(Table1[[#This Row],[Starting Date]])</f>
        <v>1989</v>
      </c>
    </row>
    <row r="279" spans="1:10" x14ac:dyDescent="0.3">
      <c r="A279" t="s">
        <v>606</v>
      </c>
      <c r="B279" t="s">
        <v>607</v>
      </c>
      <c r="C279" s="1">
        <v>1590045.94</v>
      </c>
      <c r="D279" t="s">
        <v>608</v>
      </c>
      <c r="E279" s="2">
        <v>32562</v>
      </c>
      <c r="F279" t="s">
        <v>119</v>
      </c>
      <c r="G279" t="s">
        <v>13</v>
      </c>
      <c r="H279" t="s">
        <v>14</v>
      </c>
      <c r="I279" t="s">
        <v>8</v>
      </c>
      <c r="J279">
        <f>YEAR(Table1[[#This Row],[Starting Date]])</f>
        <v>1989</v>
      </c>
    </row>
    <row r="280" spans="1:10" x14ac:dyDescent="0.3">
      <c r="A280" t="s">
        <v>609</v>
      </c>
      <c r="B280" t="s">
        <v>610</v>
      </c>
      <c r="C280" s="1">
        <v>135381.15</v>
      </c>
      <c r="D280" t="s">
        <v>82</v>
      </c>
      <c r="E280" s="2">
        <v>32406</v>
      </c>
      <c r="F280" t="s">
        <v>119</v>
      </c>
      <c r="G280" t="s">
        <v>13</v>
      </c>
      <c r="H280" t="s">
        <v>14</v>
      </c>
      <c r="I280" t="s">
        <v>8</v>
      </c>
      <c r="J280">
        <f>YEAR(Table1[[#This Row],[Starting Date]])</f>
        <v>1988</v>
      </c>
    </row>
    <row r="281" spans="1:10" x14ac:dyDescent="0.3">
      <c r="A281" t="s">
        <v>611</v>
      </c>
      <c r="B281" t="s">
        <v>612</v>
      </c>
      <c r="C281" s="1">
        <v>39422205.420000002</v>
      </c>
      <c r="D281" t="s">
        <v>317</v>
      </c>
      <c r="E281" s="2">
        <v>32378</v>
      </c>
      <c r="F281" t="s">
        <v>119</v>
      </c>
      <c r="G281" t="s">
        <v>29</v>
      </c>
      <c r="H281" t="s">
        <v>14</v>
      </c>
      <c r="I281" t="s">
        <v>8</v>
      </c>
      <c r="J281">
        <f>YEAR(Table1[[#This Row],[Starting Date]])</f>
        <v>1988</v>
      </c>
    </row>
    <row r="282" spans="1:10" x14ac:dyDescent="0.3">
      <c r="A282" t="s">
        <v>613</v>
      </c>
      <c r="B282" t="s">
        <v>614</v>
      </c>
      <c r="C282" s="1">
        <v>13815780</v>
      </c>
      <c r="D282" t="s">
        <v>33</v>
      </c>
      <c r="E282" s="2">
        <v>32290</v>
      </c>
      <c r="F282" t="s">
        <v>119</v>
      </c>
      <c r="G282" t="s">
        <v>13</v>
      </c>
      <c r="H282" t="s">
        <v>14</v>
      </c>
      <c r="I282" t="s">
        <v>8</v>
      </c>
      <c r="J282">
        <f>YEAR(Table1[[#This Row],[Starting Date]])</f>
        <v>1988</v>
      </c>
    </row>
    <row r="283" spans="1:10" x14ac:dyDescent="0.3">
      <c r="A283" t="s">
        <v>615</v>
      </c>
      <c r="B283" t="s">
        <v>616</v>
      </c>
      <c r="C283" s="1">
        <v>8000000</v>
      </c>
      <c r="D283" t="s">
        <v>85</v>
      </c>
      <c r="E283" s="2">
        <v>32223</v>
      </c>
      <c r="F283" t="s">
        <v>119</v>
      </c>
      <c r="G283" t="s">
        <v>29</v>
      </c>
      <c r="H283" t="s">
        <v>14</v>
      </c>
      <c r="I283" t="s">
        <v>8</v>
      </c>
      <c r="J283">
        <f>YEAR(Table1[[#This Row],[Starting Date]])</f>
        <v>1988</v>
      </c>
    </row>
    <row r="284" spans="1:10" x14ac:dyDescent="0.3">
      <c r="A284" t="s">
        <v>617</v>
      </c>
      <c r="B284" t="s">
        <v>618</v>
      </c>
      <c r="C284" s="1">
        <v>15000000</v>
      </c>
      <c r="D284" t="s">
        <v>85</v>
      </c>
      <c r="E284" s="2">
        <v>32223</v>
      </c>
      <c r="F284" t="s">
        <v>119</v>
      </c>
      <c r="G284" t="s">
        <v>29</v>
      </c>
      <c r="H284" t="s">
        <v>14</v>
      </c>
      <c r="I284" t="s">
        <v>8</v>
      </c>
      <c r="J284">
        <f>YEAR(Table1[[#This Row],[Starting Date]])</f>
        <v>1988</v>
      </c>
    </row>
    <row r="285" spans="1:10" x14ac:dyDescent="0.3">
      <c r="A285" t="s">
        <v>619</v>
      </c>
      <c r="B285" t="s">
        <v>620</v>
      </c>
      <c r="C285" s="1">
        <v>7000000</v>
      </c>
      <c r="D285" t="s">
        <v>85</v>
      </c>
      <c r="E285" s="2">
        <v>32223</v>
      </c>
      <c r="F285" t="s">
        <v>119</v>
      </c>
      <c r="G285" t="s">
        <v>29</v>
      </c>
      <c r="H285" t="s">
        <v>14</v>
      </c>
      <c r="I285" t="s">
        <v>8</v>
      </c>
      <c r="J285">
        <f>YEAR(Table1[[#This Row],[Starting Date]])</f>
        <v>1988</v>
      </c>
    </row>
    <row r="286" spans="1:10" x14ac:dyDescent="0.3">
      <c r="A286" t="s">
        <v>621</v>
      </c>
      <c r="B286" t="s">
        <v>622</v>
      </c>
      <c r="C286" s="1">
        <v>20000000</v>
      </c>
      <c r="D286" t="s">
        <v>85</v>
      </c>
      <c r="E286" s="2">
        <v>32223</v>
      </c>
      <c r="F286" t="s">
        <v>119</v>
      </c>
      <c r="G286" t="s">
        <v>29</v>
      </c>
      <c r="H286" t="s">
        <v>14</v>
      </c>
      <c r="I286" t="s">
        <v>8</v>
      </c>
      <c r="J286">
        <f>YEAR(Table1[[#This Row],[Starting Date]])</f>
        <v>1988</v>
      </c>
    </row>
    <row r="287" spans="1:10" x14ac:dyDescent="0.3">
      <c r="A287" t="s">
        <v>623</v>
      </c>
      <c r="B287" t="s">
        <v>624</v>
      </c>
      <c r="C287" s="1">
        <v>9997882.9399999995</v>
      </c>
      <c r="D287" t="s">
        <v>85</v>
      </c>
      <c r="E287" s="2">
        <v>32223</v>
      </c>
      <c r="F287" t="s">
        <v>119</v>
      </c>
      <c r="G287" t="s">
        <v>29</v>
      </c>
      <c r="H287" t="s">
        <v>14</v>
      </c>
      <c r="I287" t="s">
        <v>8</v>
      </c>
      <c r="J287">
        <f>YEAR(Table1[[#This Row],[Starting Date]])</f>
        <v>1988</v>
      </c>
    </row>
    <row r="288" spans="1:10" x14ac:dyDescent="0.3">
      <c r="A288" t="s">
        <v>625</v>
      </c>
      <c r="B288" t="s">
        <v>626</v>
      </c>
      <c r="C288" s="1">
        <v>10850508.49</v>
      </c>
      <c r="D288" t="s">
        <v>17</v>
      </c>
      <c r="E288" s="2">
        <v>32197</v>
      </c>
      <c r="F288" t="s">
        <v>119</v>
      </c>
      <c r="G288" t="s">
        <v>29</v>
      </c>
      <c r="H288" t="s">
        <v>14</v>
      </c>
      <c r="I288" t="s">
        <v>8</v>
      </c>
      <c r="J288">
        <f>YEAR(Table1[[#This Row],[Starting Date]])</f>
        <v>1988</v>
      </c>
    </row>
    <row r="289" spans="1:10" x14ac:dyDescent="0.3">
      <c r="A289" t="s">
        <v>627</v>
      </c>
      <c r="B289" t="s">
        <v>628</v>
      </c>
      <c r="C289" s="1">
        <v>3934863.68</v>
      </c>
      <c r="D289" t="s">
        <v>24</v>
      </c>
      <c r="E289" s="2">
        <v>32196</v>
      </c>
      <c r="F289" t="s">
        <v>119</v>
      </c>
      <c r="G289" t="s">
        <v>29</v>
      </c>
      <c r="H289" t="s">
        <v>14</v>
      </c>
      <c r="I289" t="s">
        <v>30</v>
      </c>
      <c r="J289">
        <f>YEAR(Table1[[#This Row],[Starting Date]])</f>
        <v>1988</v>
      </c>
    </row>
    <row r="290" spans="1:10" x14ac:dyDescent="0.3">
      <c r="A290" t="s">
        <v>629</v>
      </c>
      <c r="B290" t="s">
        <v>630</v>
      </c>
      <c r="C290" s="1">
        <v>3987671.82</v>
      </c>
      <c r="D290" t="s">
        <v>631</v>
      </c>
      <c r="E290" s="2">
        <v>32126</v>
      </c>
      <c r="F290" t="s">
        <v>119</v>
      </c>
      <c r="G290" t="s">
        <v>13</v>
      </c>
      <c r="H290" t="s">
        <v>14</v>
      </c>
      <c r="I290" t="s">
        <v>8</v>
      </c>
      <c r="J290">
        <f>YEAR(Table1[[#This Row],[Starting Date]])</f>
        <v>1987</v>
      </c>
    </row>
    <row r="291" spans="1:10" x14ac:dyDescent="0.3">
      <c r="A291" t="s">
        <v>632</v>
      </c>
      <c r="B291" t="s">
        <v>633</v>
      </c>
      <c r="C291" s="1">
        <v>12021505.18</v>
      </c>
      <c r="D291" t="s">
        <v>112</v>
      </c>
      <c r="E291" s="2">
        <v>32106</v>
      </c>
      <c r="F291" t="s">
        <v>119</v>
      </c>
      <c r="G291" t="s">
        <v>13</v>
      </c>
      <c r="H291" t="s">
        <v>14</v>
      </c>
      <c r="I291" t="s">
        <v>30</v>
      </c>
      <c r="J291">
        <f>YEAR(Table1[[#This Row],[Starting Date]])</f>
        <v>1987</v>
      </c>
    </row>
    <row r="292" spans="1:10" x14ac:dyDescent="0.3">
      <c r="A292" t="s">
        <v>634</v>
      </c>
      <c r="B292" t="s">
        <v>630</v>
      </c>
      <c r="C292" s="1">
        <v>639105.85</v>
      </c>
      <c r="D292" t="s">
        <v>635</v>
      </c>
      <c r="E292" s="2">
        <v>32077</v>
      </c>
      <c r="F292" t="s">
        <v>119</v>
      </c>
      <c r="G292" t="s">
        <v>13</v>
      </c>
      <c r="H292" t="s">
        <v>14</v>
      </c>
      <c r="I292" t="s">
        <v>8</v>
      </c>
      <c r="J292">
        <f>YEAR(Table1[[#This Row],[Starting Date]])</f>
        <v>1987</v>
      </c>
    </row>
    <row r="293" spans="1:10" x14ac:dyDescent="0.3">
      <c r="A293" t="s">
        <v>636</v>
      </c>
      <c r="B293" t="s">
        <v>637</v>
      </c>
      <c r="C293" s="1">
        <v>2827916.8</v>
      </c>
      <c r="D293" t="s">
        <v>638</v>
      </c>
      <c r="E293" s="2">
        <v>32007</v>
      </c>
      <c r="F293" t="s">
        <v>119</v>
      </c>
      <c r="G293" t="s">
        <v>13</v>
      </c>
      <c r="H293" t="s">
        <v>14</v>
      </c>
      <c r="I293" t="s">
        <v>8</v>
      </c>
      <c r="J293">
        <f>YEAR(Table1[[#This Row],[Starting Date]])</f>
        <v>1987</v>
      </c>
    </row>
    <row r="294" spans="1:10" x14ac:dyDescent="0.3">
      <c r="A294" t="s">
        <v>639</v>
      </c>
      <c r="B294" t="s">
        <v>640</v>
      </c>
      <c r="C294" s="1">
        <v>80000000</v>
      </c>
      <c r="D294" t="s">
        <v>85</v>
      </c>
      <c r="E294" s="2">
        <v>32007</v>
      </c>
      <c r="F294" t="s">
        <v>119</v>
      </c>
      <c r="G294" t="s">
        <v>29</v>
      </c>
      <c r="H294" t="s">
        <v>14</v>
      </c>
      <c r="I294" t="s">
        <v>8</v>
      </c>
      <c r="J294">
        <f>YEAR(Table1[[#This Row],[Starting Date]])</f>
        <v>1987</v>
      </c>
    </row>
    <row r="295" spans="1:10" x14ac:dyDescent="0.3">
      <c r="A295" t="s">
        <v>641</v>
      </c>
      <c r="B295" t="s">
        <v>642</v>
      </c>
      <c r="C295" s="1">
        <v>4523529.09</v>
      </c>
      <c r="D295" t="s">
        <v>49</v>
      </c>
      <c r="E295" s="2">
        <v>31768</v>
      </c>
      <c r="F295" t="s">
        <v>119</v>
      </c>
      <c r="G295" t="s">
        <v>13</v>
      </c>
      <c r="H295" t="s">
        <v>14</v>
      </c>
      <c r="I295" t="s">
        <v>30</v>
      </c>
      <c r="J295">
        <f>YEAR(Table1[[#This Row],[Starting Date]])</f>
        <v>1986</v>
      </c>
    </row>
    <row r="296" spans="1:10" x14ac:dyDescent="0.3">
      <c r="A296" t="s">
        <v>643</v>
      </c>
      <c r="B296" t="s">
        <v>644</v>
      </c>
      <c r="C296" s="1">
        <v>10031279.07</v>
      </c>
      <c r="D296" t="s">
        <v>589</v>
      </c>
      <c r="E296" s="2">
        <v>31713</v>
      </c>
      <c r="F296" t="s">
        <v>119</v>
      </c>
      <c r="G296" t="s">
        <v>13</v>
      </c>
      <c r="H296" t="s">
        <v>14</v>
      </c>
      <c r="I296" t="s">
        <v>30</v>
      </c>
      <c r="J296">
        <f>YEAR(Table1[[#This Row],[Starting Date]])</f>
        <v>1986</v>
      </c>
    </row>
    <row r="297" spans="1:10" x14ac:dyDescent="0.3">
      <c r="A297" t="s">
        <v>645</v>
      </c>
      <c r="B297" t="s">
        <v>646</v>
      </c>
      <c r="C297" s="1">
        <v>49996958.100000001</v>
      </c>
      <c r="D297" t="s">
        <v>52</v>
      </c>
      <c r="E297" s="2">
        <v>31679</v>
      </c>
      <c r="F297" t="s">
        <v>119</v>
      </c>
      <c r="G297" t="s">
        <v>29</v>
      </c>
      <c r="H297" t="s">
        <v>14</v>
      </c>
      <c r="I297" t="s">
        <v>30</v>
      </c>
      <c r="J297">
        <f>YEAR(Table1[[#This Row],[Starting Date]])</f>
        <v>1986</v>
      </c>
    </row>
    <row r="298" spans="1:10" x14ac:dyDescent="0.3">
      <c r="A298" t="s">
        <v>647</v>
      </c>
      <c r="B298" t="s">
        <v>648</v>
      </c>
      <c r="C298" s="1">
        <v>4221054.5199999996</v>
      </c>
      <c r="D298" t="s">
        <v>539</v>
      </c>
      <c r="E298" s="2">
        <v>31678</v>
      </c>
      <c r="F298" t="s">
        <v>119</v>
      </c>
      <c r="G298" t="s">
        <v>13</v>
      </c>
      <c r="H298" t="s">
        <v>14</v>
      </c>
      <c r="I298" t="s">
        <v>8</v>
      </c>
      <c r="J298">
        <f>YEAR(Table1[[#This Row],[Starting Date]])</f>
        <v>1986</v>
      </c>
    </row>
    <row r="299" spans="1:10" x14ac:dyDescent="0.3">
      <c r="A299" t="s">
        <v>649</v>
      </c>
      <c r="B299" t="s">
        <v>650</v>
      </c>
      <c r="C299" s="1">
        <v>2972992.69</v>
      </c>
      <c r="D299" t="s">
        <v>235</v>
      </c>
      <c r="E299" s="2">
        <v>31580</v>
      </c>
      <c r="F299" t="s">
        <v>119</v>
      </c>
      <c r="G299" t="s">
        <v>540</v>
      </c>
      <c r="H299" t="s">
        <v>14</v>
      </c>
      <c r="I299" t="s">
        <v>30</v>
      </c>
      <c r="J299">
        <f>YEAR(Table1[[#This Row],[Starting Date]])</f>
        <v>1986</v>
      </c>
    </row>
    <row r="300" spans="1:10" x14ac:dyDescent="0.3">
      <c r="A300" t="s">
        <v>651</v>
      </c>
      <c r="B300" t="s">
        <v>652</v>
      </c>
      <c r="C300" s="1">
        <v>3474461.09</v>
      </c>
      <c r="D300" t="s">
        <v>33</v>
      </c>
      <c r="E300" s="2">
        <v>31489</v>
      </c>
      <c r="F300" t="s">
        <v>119</v>
      </c>
      <c r="G300" t="s">
        <v>13</v>
      </c>
      <c r="H300" t="s">
        <v>14</v>
      </c>
      <c r="I300" t="s">
        <v>8</v>
      </c>
      <c r="J300">
        <f>YEAR(Table1[[#This Row],[Starting Date]])</f>
        <v>1986</v>
      </c>
    </row>
    <row r="301" spans="1:10" x14ac:dyDescent="0.3">
      <c r="A301" t="s">
        <v>653</v>
      </c>
      <c r="B301" t="s">
        <v>654</v>
      </c>
      <c r="C301" s="1">
        <v>4512463.84</v>
      </c>
      <c r="D301" t="s">
        <v>46</v>
      </c>
      <c r="E301" s="2">
        <v>31427</v>
      </c>
      <c r="F301" t="s">
        <v>119</v>
      </c>
      <c r="G301" t="s">
        <v>540</v>
      </c>
      <c r="H301" t="s">
        <v>14</v>
      </c>
      <c r="I301" t="s">
        <v>8</v>
      </c>
      <c r="J301">
        <f>YEAR(Table1[[#This Row],[Starting Date]])</f>
        <v>1986</v>
      </c>
    </row>
    <row r="302" spans="1:10" x14ac:dyDescent="0.3">
      <c r="A302" t="s">
        <v>655</v>
      </c>
      <c r="B302" t="s">
        <v>656</v>
      </c>
      <c r="C302" s="1">
        <v>10992528.85</v>
      </c>
      <c r="D302" t="s">
        <v>657</v>
      </c>
      <c r="E302" s="2">
        <v>31316</v>
      </c>
      <c r="F302" t="s">
        <v>189</v>
      </c>
      <c r="G302" t="s">
        <v>13</v>
      </c>
      <c r="H302" t="s">
        <v>14</v>
      </c>
      <c r="I302" t="s">
        <v>8</v>
      </c>
      <c r="J302">
        <f>YEAR(Table1[[#This Row],[Starting Date]])</f>
        <v>1985</v>
      </c>
    </row>
    <row r="303" spans="1:10" x14ac:dyDescent="0.3">
      <c r="A303" t="s">
        <v>658</v>
      </c>
      <c r="B303" t="s">
        <v>659</v>
      </c>
      <c r="C303" s="1">
        <v>18064058.190000001</v>
      </c>
      <c r="D303" t="s">
        <v>17</v>
      </c>
      <c r="E303" s="2">
        <v>31316</v>
      </c>
      <c r="F303" t="s">
        <v>119</v>
      </c>
      <c r="G303" t="s">
        <v>29</v>
      </c>
      <c r="H303" t="s">
        <v>14</v>
      </c>
      <c r="I303" t="s">
        <v>30</v>
      </c>
      <c r="J303">
        <f>YEAR(Table1[[#This Row],[Starting Date]])</f>
        <v>1985</v>
      </c>
    </row>
    <row r="304" spans="1:10" x14ac:dyDescent="0.3">
      <c r="A304" t="s">
        <v>660</v>
      </c>
      <c r="B304" t="s">
        <v>603</v>
      </c>
      <c r="C304" s="1">
        <v>4590621.5</v>
      </c>
      <c r="D304" t="s">
        <v>71</v>
      </c>
      <c r="E304" s="2">
        <v>31287</v>
      </c>
      <c r="F304" t="s">
        <v>119</v>
      </c>
      <c r="G304" t="s">
        <v>13</v>
      </c>
      <c r="H304" t="s">
        <v>14</v>
      </c>
      <c r="I304" t="s">
        <v>8</v>
      </c>
      <c r="J304">
        <f>YEAR(Table1[[#This Row],[Starting Date]])</f>
        <v>1985</v>
      </c>
    </row>
    <row r="305" spans="1:10" x14ac:dyDescent="0.3">
      <c r="A305" t="s">
        <v>661</v>
      </c>
      <c r="B305" t="s">
        <v>662</v>
      </c>
      <c r="C305" s="1">
        <v>12904697.85</v>
      </c>
      <c r="D305" t="s">
        <v>631</v>
      </c>
      <c r="E305" s="2">
        <v>31091</v>
      </c>
      <c r="F305" t="s">
        <v>119</v>
      </c>
      <c r="G305" t="s">
        <v>13</v>
      </c>
      <c r="H305" t="s">
        <v>14</v>
      </c>
      <c r="I305" t="s">
        <v>8</v>
      </c>
      <c r="J305">
        <f>YEAR(Table1[[#This Row],[Starting Date]])</f>
        <v>1985</v>
      </c>
    </row>
    <row r="306" spans="1:10" x14ac:dyDescent="0.3">
      <c r="A306" t="s">
        <v>663</v>
      </c>
      <c r="B306" t="s">
        <v>664</v>
      </c>
      <c r="C306" s="1">
        <v>40800461.649999999</v>
      </c>
      <c r="D306" t="s">
        <v>43</v>
      </c>
      <c r="E306" s="2">
        <v>31028</v>
      </c>
      <c r="F306" t="s">
        <v>119</v>
      </c>
      <c r="G306" t="s">
        <v>29</v>
      </c>
      <c r="H306" t="s">
        <v>14</v>
      </c>
      <c r="I306" t="s">
        <v>30</v>
      </c>
      <c r="J306">
        <f>YEAR(Table1[[#This Row],[Starting Date]])</f>
        <v>1984</v>
      </c>
    </row>
    <row r="307" spans="1:10" x14ac:dyDescent="0.3">
      <c r="A307" t="s">
        <v>665</v>
      </c>
      <c r="B307" t="s">
        <v>666</v>
      </c>
      <c r="C307" s="1">
        <v>30000005.760000002</v>
      </c>
      <c r="D307" t="s">
        <v>85</v>
      </c>
      <c r="E307" s="2">
        <v>31028</v>
      </c>
      <c r="F307" t="s">
        <v>119</v>
      </c>
      <c r="G307" t="s">
        <v>29</v>
      </c>
      <c r="H307" t="s">
        <v>14</v>
      </c>
      <c r="I307" t="s">
        <v>8</v>
      </c>
      <c r="J307">
        <f>YEAR(Table1[[#This Row],[Starting Date]])</f>
        <v>1984</v>
      </c>
    </row>
    <row r="308" spans="1:10" x14ac:dyDescent="0.3">
      <c r="A308" t="s">
        <v>667</v>
      </c>
      <c r="B308" t="s">
        <v>668</v>
      </c>
      <c r="C308" s="1">
        <v>20000000</v>
      </c>
      <c r="D308" t="s">
        <v>85</v>
      </c>
      <c r="E308" s="2">
        <v>31028</v>
      </c>
      <c r="F308" t="s">
        <v>119</v>
      </c>
      <c r="G308" t="s">
        <v>29</v>
      </c>
      <c r="H308" t="s">
        <v>14</v>
      </c>
      <c r="I308" t="s">
        <v>8</v>
      </c>
      <c r="J308">
        <f>YEAR(Table1[[#This Row],[Starting Date]])</f>
        <v>1984</v>
      </c>
    </row>
    <row r="309" spans="1:10" x14ac:dyDescent="0.3">
      <c r="A309" t="s">
        <v>669</v>
      </c>
      <c r="B309" t="s">
        <v>670</v>
      </c>
      <c r="C309" s="1">
        <v>19465441.539999999</v>
      </c>
      <c r="D309" t="s">
        <v>49</v>
      </c>
      <c r="E309" s="2">
        <v>30916</v>
      </c>
      <c r="F309" t="s">
        <v>119</v>
      </c>
      <c r="G309" t="s">
        <v>29</v>
      </c>
      <c r="H309" t="s">
        <v>14</v>
      </c>
      <c r="I309" t="s">
        <v>30</v>
      </c>
      <c r="J309">
        <f>YEAR(Table1[[#This Row],[Starting Date]])</f>
        <v>1984</v>
      </c>
    </row>
    <row r="310" spans="1:10" x14ac:dyDescent="0.3">
      <c r="A310" t="s">
        <v>671</v>
      </c>
      <c r="B310" t="s">
        <v>672</v>
      </c>
      <c r="C310" s="1">
        <v>19974035.59</v>
      </c>
      <c r="D310" t="s">
        <v>112</v>
      </c>
      <c r="E310" s="2">
        <v>30642</v>
      </c>
      <c r="F310" t="s">
        <v>119</v>
      </c>
      <c r="G310" t="s">
        <v>29</v>
      </c>
      <c r="H310" t="s">
        <v>14</v>
      </c>
      <c r="I310" t="s">
        <v>8</v>
      </c>
      <c r="J310">
        <f>YEAR(Table1[[#This Row],[Starting Date]])</f>
        <v>1983</v>
      </c>
    </row>
    <row r="311" spans="1:10" x14ac:dyDescent="0.3">
      <c r="A311" t="s">
        <v>673</v>
      </c>
      <c r="B311" t="s">
        <v>674</v>
      </c>
      <c r="C311" s="1">
        <v>4864872.43</v>
      </c>
      <c r="D311" t="s">
        <v>657</v>
      </c>
      <c r="E311" s="2">
        <v>30369</v>
      </c>
      <c r="F311" t="s">
        <v>119</v>
      </c>
      <c r="G311" t="s">
        <v>29</v>
      </c>
      <c r="H311" t="s">
        <v>14</v>
      </c>
      <c r="I311" t="s">
        <v>8</v>
      </c>
      <c r="J311">
        <f>YEAR(Table1[[#This Row],[Starting Date]])</f>
        <v>1983</v>
      </c>
    </row>
    <row r="312" spans="1:10" x14ac:dyDescent="0.3">
      <c r="A312" t="s">
        <v>675</v>
      </c>
      <c r="B312" t="s">
        <v>676</v>
      </c>
      <c r="C312" s="1">
        <v>1158536.73</v>
      </c>
      <c r="D312" t="s">
        <v>97</v>
      </c>
      <c r="E312" s="2">
        <v>30306</v>
      </c>
      <c r="F312" t="s">
        <v>119</v>
      </c>
      <c r="G312" t="s">
        <v>29</v>
      </c>
      <c r="H312" t="s">
        <v>14</v>
      </c>
      <c r="I312" t="s">
        <v>8</v>
      </c>
      <c r="J312">
        <f>YEAR(Table1[[#This Row],[Starting Date]])</f>
        <v>1982</v>
      </c>
    </row>
    <row r="313" spans="1:10" x14ac:dyDescent="0.3">
      <c r="A313" t="s">
        <v>677</v>
      </c>
      <c r="B313" t="s">
        <v>672</v>
      </c>
      <c r="C313" s="1">
        <v>2958926.98</v>
      </c>
      <c r="D313" t="s">
        <v>24</v>
      </c>
      <c r="E313" s="2">
        <v>30096</v>
      </c>
      <c r="F313" t="s">
        <v>119</v>
      </c>
      <c r="G313" t="s">
        <v>29</v>
      </c>
      <c r="H313" t="s">
        <v>14</v>
      </c>
      <c r="I313" t="s">
        <v>8</v>
      </c>
      <c r="J313">
        <f>YEAR(Table1[[#This Row],[Starting Date]])</f>
        <v>1982</v>
      </c>
    </row>
    <row r="314" spans="1:10" x14ac:dyDescent="0.3">
      <c r="A314" t="s">
        <v>678</v>
      </c>
      <c r="B314" t="s">
        <v>668</v>
      </c>
      <c r="C314" s="1">
        <v>10000000</v>
      </c>
      <c r="D314" t="s">
        <v>85</v>
      </c>
      <c r="E314" s="2">
        <v>30026</v>
      </c>
      <c r="F314" t="s">
        <v>119</v>
      </c>
      <c r="G314" t="s">
        <v>29</v>
      </c>
      <c r="H314" t="s">
        <v>14</v>
      </c>
      <c r="I314" t="s">
        <v>8</v>
      </c>
      <c r="J314">
        <f>YEAR(Table1[[#This Row],[Starting Date]])</f>
        <v>1982</v>
      </c>
    </row>
    <row r="315" spans="1:10" x14ac:dyDescent="0.3">
      <c r="A315" t="s">
        <v>679</v>
      </c>
      <c r="B315" t="s">
        <v>680</v>
      </c>
      <c r="C315" s="1">
        <v>9817538.1400000006</v>
      </c>
      <c r="D315" t="s">
        <v>17</v>
      </c>
      <c r="E315" s="2">
        <v>30026</v>
      </c>
      <c r="F315" t="s">
        <v>119</v>
      </c>
      <c r="G315" t="s">
        <v>29</v>
      </c>
      <c r="H315" t="s">
        <v>14</v>
      </c>
      <c r="I315" t="s">
        <v>8</v>
      </c>
      <c r="J315">
        <f>YEAR(Table1[[#This Row],[Starting Date]])</f>
        <v>1982</v>
      </c>
    </row>
    <row r="316" spans="1:10" x14ac:dyDescent="0.3">
      <c r="A316" t="s">
        <v>681</v>
      </c>
      <c r="B316" t="s">
        <v>682</v>
      </c>
      <c r="C316" s="1">
        <v>2788661.15</v>
      </c>
      <c r="D316" t="s">
        <v>631</v>
      </c>
      <c r="E316" s="2">
        <v>29949</v>
      </c>
      <c r="F316" t="s">
        <v>119</v>
      </c>
      <c r="G316" t="s">
        <v>13</v>
      </c>
      <c r="H316" t="s">
        <v>14</v>
      </c>
      <c r="I316" t="s">
        <v>8</v>
      </c>
      <c r="J316">
        <f>YEAR(Table1[[#This Row],[Starting Date]])</f>
        <v>1981</v>
      </c>
    </row>
    <row r="317" spans="1:10" x14ac:dyDescent="0.3">
      <c r="A317" t="s">
        <v>683</v>
      </c>
      <c r="B317" t="s">
        <v>684</v>
      </c>
      <c r="C317" s="1">
        <v>10001799.18</v>
      </c>
      <c r="D317" t="s">
        <v>43</v>
      </c>
      <c r="E317" s="2">
        <v>29914</v>
      </c>
      <c r="F317" t="s">
        <v>119</v>
      </c>
      <c r="G317" t="s">
        <v>29</v>
      </c>
      <c r="H317" t="s">
        <v>14</v>
      </c>
      <c r="I317" t="s">
        <v>8</v>
      </c>
      <c r="J317">
        <f>YEAR(Table1[[#This Row],[Starting Date]])</f>
        <v>1981</v>
      </c>
    </row>
    <row r="318" spans="1:10" x14ac:dyDescent="0.3">
      <c r="A318" t="s">
        <v>685</v>
      </c>
      <c r="B318" t="s">
        <v>686</v>
      </c>
      <c r="C318" s="1">
        <v>9595341.3900000006</v>
      </c>
      <c r="D318" t="s">
        <v>52</v>
      </c>
      <c r="E318" s="2">
        <v>29914</v>
      </c>
      <c r="F318" t="s">
        <v>119</v>
      </c>
      <c r="G318" t="s">
        <v>29</v>
      </c>
      <c r="H318" t="s">
        <v>14</v>
      </c>
      <c r="I318" t="s">
        <v>8</v>
      </c>
      <c r="J318">
        <f>YEAR(Table1[[#This Row],[Starting Date]])</f>
        <v>1981</v>
      </c>
    </row>
    <row r="319" spans="1:10" x14ac:dyDescent="0.3">
      <c r="A319" t="s">
        <v>687</v>
      </c>
      <c r="B319" t="s">
        <v>688</v>
      </c>
      <c r="C319" s="1">
        <v>7288295.9500000002</v>
      </c>
      <c r="D319" t="s">
        <v>589</v>
      </c>
      <c r="E319" s="2">
        <v>29889</v>
      </c>
      <c r="F319" t="s">
        <v>119</v>
      </c>
      <c r="G319" t="s">
        <v>13</v>
      </c>
      <c r="H319" t="s">
        <v>14</v>
      </c>
      <c r="I319" t="s">
        <v>8</v>
      </c>
      <c r="J319">
        <f>YEAR(Table1[[#This Row],[Starting Date]])</f>
        <v>1981</v>
      </c>
    </row>
    <row r="320" spans="1:10" x14ac:dyDescent="0.3">
      <c r="A320" t="s">
        <v>689</v>
      </c>
      <c r="B320" t="s">
        <v>690</v>
      </c>
      <c r="C320" s="1">
        <v>9823662.6199999992</v>
      </c>
      <c r="D320" t="s">
        <v>631</v>
      </c>
      <c r="E320" s="2">
        <v>29822</v>
      </c>
      <c r="F320" t="s">
        <v>119</v>
      </c>
      <c r="G320" t="s">
        <v>29</v>
      </c>
      <c r="H320" t="s">
        <v>14</v>
      </c>
      <c r="I320" t="s">
        <v>8</v>
      </c>
      <c r="J320">
        <f>YEAR(Table1[[#This Row],[Starting Date]])</f>
        <v>1981</v>
      </c>
    </row>
    <row r="321" spans="1:10" x14ac:dyDescent="0.3">
      <c r="A321" t="s">
        <v>691</v>
      </c>
      <c r="B321" t="s">
        <v>692</v>
      </c>
      <c r="C321" s="1">
        <v>9877125.9000000004</v>
      </c>
      <c r="D321" t="s">
        <v>43</v>
      </c>
      <c r="E321" s="2">
        <v>29336</v>
      </c>
      <c r="F321" t="s">
        <v>119</v>
      </c>
      <c r="G321" t="s">
        <v>29</v>
      </c>
      <c r="H321" t="s">
        <v>14</v>
      </c>
      <c r="I321" t="s">
        <v>8</v>
      </c>
      <c r="J321">
        <f>YEAR(Table1[[#This Row],[Starting Date]])</f>
        <v>1980</v>
      </c>
    </row>
    <row r="322" spans="1:10" x14ac:dyDescent="0.3">
      <c r="A322" t="s">
        <v>693</v>
      </c>
      <c r="B322" t="s">
        <v>694</v>
      </c>
      <c r="C322" s="1">
        <v>10000000</v>
      </c>
      <c r="D322" t="s">
        <v>85</v>
      </c>
      <c r="E322" s="2">
        <v>29336</v>
      </c>
      <c r="F322" t="s">
        <v>119</v>
      </c>
      <c r="G322" t="s">
        <v>29</v>
      </c>
      <c r="H322" t="s">
        <v>14</v>
      </c>
      <c r="I322" t="s">
        <v>8</v>
      </c>
      <c r="J322">
        <f>YEAR(Table1[[#This Row],[Starting Date]])</f>
        <v>1980</v>
      </c>
    </row>
    <row r="323" spans="1:10" x14ac:dyDescent="0.3">
      <c r="A323" t="s">
        <v>695</v>
      </c>
      <c r="B323" t="s">
        <v>696</v>
      </c>
      <c r="C323" s="1">
        <v>9724913.1199999992</v>
      </c>
      <c r="D323" t="s">
        <v>112</v>
      </c>
      <c r="E323" s="2">
        <v>29306</v>
      </c>
      <c r="F323" t="s">
        <v>119</v>
      </c>
      <c r="G323" t="s">
        <v>29</v>
      </c>
      <c r="H323" t="s">
        <v>14</v>
      </c>
      <c r="I323" t="s">
        <v>8</v>
      </c>
      <c r="J323">
        <f>YEAR(Table1[[#This Row],[Starting Date]])</f>
        <v>1980</v>
      </c>
    </row>
    <row r="324" spans="1:10" x14ac:dyDescent="0.3">
      <c r="A324" t="s">
        <v>697</v>
      </c>
      <c r="B324" t="s">
        <v>650</v>
      </c>
      <c r="C324" s="1">
        <v>2101349.48</v>
      </c>
      <c r="D324" t="s">
        <v>539</v>
      </c>
      <c r="E324" s="2">
        <v>29186</v>
      </c>
      <c r="F324" t="s">
        <v>119</v>
      </c>
      <c r="G324" t="s">
        <v>540</v>
      </c>
      <c r="H324" t="s">
        <v>14</v>
      </c>
      <c r="I324" t="s">
        <v>8</v>
      </c>
      <c r="J324">
        <f>YEAR(Table1[[#This Row],[Starting Date]])</f>
        <v>1979</v>
      </c>
    </row>
    <row r="325" spans="1:10" x14ac:dyDescent="0.3">
      <c r="A325" t="s">
        <v>698</v>
      </c>
      <c r="B325" t="s">
        <v>699</v>
      </c>
      <c r="C325" s="1">
        <v>3499965.2</v>
      </c>
      <c r="D325" t="s">
        <v>700</v>
      </c>
      <c r="E325" s="2">
        <v>28935</v>
      </c>
      <c r="F325" t="s">
        <v>119</v>
      </c>
      <c r="G325" t="s">
        <v>29</v>
      </c>
      <c r="H325" t="s">
        <v>14</v>
      </c>
      <c r="I325" t="s">
        <v>8</v>
      </c>
      <c r="J325">
        <f>YEAR(Table1[[#This Row],[Starting Date]])</f>
        <v>1979</v>
      </c>
    </row>
    <row r="326" spans="1:10" x14ac:dyDescent="0.3">
      <c r="A326" t="s">
        <v>701</v>
      </c>
      <c r="B326" t="s">
        <v>672</v>
      </c>
      <c r="C326" s="1">
        <v>4990309.8600000003</v>
      </c>
      <c r="D326" t="s">
        <v>49</v>
      </c>
      <c r="E326" s="2">
        <v>28935</v>
      </c>
      <c r="F326" t="s">
        <v>119</v>
      </c>
      <c r="G326" t="s">
        <v>29</v>
      </c>
      <c r="H326" t="s">
        <v>14</v>
      </c>
      <c r="I326" t="s">
        <v>8</v>
      </c>
      <c r="J326">
        <f>YEAR(Table1[[#This Row],[Starting Date]])</f>
        <v>1979</v>
      </c>
    </row>
    <row r="327" spans="1:10" x14ac:dyDescent="0.3">
      <c r="A327" t="s">
        <v>702</v>
      </c>
      <c r="B327" t="s">
        <v>703</v>
      </c>
      <c r="C327" s="1">
        <v>1801413.74</v>
      </c>
      <c r="D327" t="s">
        <v>433</v>
      </c>
      <c r="E327" s="2">
        <v>28878</v>
      </c>
      <c r="F327" t="s">
        <v>189</v>
      </c>
      <c r="G327" t="s">
        <v>29</v>
      </c>
      <c r="H327" t="s">
        <v>14</v>
      </c>
      <c r="I327" t="s">
        <v>8</v>
      </c>
      <c r="J327">
        <f>YEAR(Table1[[#This Row],[Starting Date]])</f>
        <v>1979</v>
      </c>
    </row>
    <row r="328" spans="1:10" x14ac:dyDescent="0.3">
      <c r="A328" t="s">
        <v>704</v>
      </c>
      <c r="B328" t="s">
        <v>705</v>
      </c>
      <c r="C328" s="1">
        <v>5000000</v>
      </c>
      <c r="D328" t="s">
        <v>52</v>
      </c>
      <c r="E328" s="2">
        <v>28815</v>
      </c>
      <c r="F328" t="s">
        <v>119</v>
      </c>
      <c r="G328" t="s">
        <v>29</v>
      </c>
      <c r="H328" t="s">
        <v>14</v>
      </c>
      <c r="I328" t="s">
        <v>8</v>
      </c>
      <c r="J328">
        <f>YEAR(Table1[[#This Row],[Starting Date]])</f>
        <v>1978</v>
      </c>
    </row>
    <row r="329" spans="1:10" x14ac:dyDescent="0.3">
      <c r="A329" t="s">
        <v>706</v>
      </c>
      <c r="B329" t="s">
        <v>707</v>
      </c>
      <c r="C329" s="1">
        <v>2015284.85</v>
      </c>
      <c r="D329" t="s">
        <v>143</v>
      </c>
      <c r="E329" s="2">
        <v>28490</v>
      </c>
      <c r="F329" t="s">
        <v>119</v>
      </c>
      <c r="G329" t="s">
        <v>29</v>
      </c>
      <c r="H329" t="s">
        <v>14</v>
      </c>
      <c r="I329" t="s">
        <v>8</v>
      </c>
      <c r="J329">
        <f>YEAR(Table1[[#This Row],[Starting Date]])</f>
        <v>1977</v>
      </c>
    </row>
    <row r="330" spans="1:10" x14ac:dyDescent="0.3">
      <c r="A330" t="s">
        <v>708</v>
      </c>
      <c r="B330" t="s">
        <v>637</v>
      </c>
      <c r="C330" s="1">
        <v>1996165.41</v>
      </c>
      <c r="D330" t="s">
        <v>302</v>
      </c>
      <c r="E330" s="2">
        <v>28387</v>
      </c>
      <c r="F330" t="s">
        <v>119</v>
      </c>
      <c r="G330" t="s">
        <v>29</v>
      </c>
      <c r="H330" t="s">
        <v>14</v>
      </c>
      <c r="I330" t="s">
        <v>8</v>
      </c>
      <c r="J330">
        <f>YEAR(Table1[[#This Row],[Starting Date]])</f>
        <v>1977</v>
      </c>
    </row>
    <row r="331" spans="1:10" x14ac:dyDescent="0.3">
      <c r="A331" t="s">
        <v>709</v>
      </c>
      <c r="B331" t="s">
        <v>710</v>
      </c>
      <c r="C331" s="1">
        <v>4994609.24</v>
      </c>
      <c r="D331" t="s">
        <v>43</v>
      </c>
      <c r="E331" s="2">
        <v>28355</v>
      </c>
      <c r="F331" t="s">
        <v>119</v>
      </c>
      <c r="G331" t="s">
        <v>29</v>
      </c>
      <c r="H331" t="s">
        <v>14</v>
      </c>
      <c r="I331" t="s">
        <v>8</v>
      </c>
      <c r="J331">
        <f>YEAR(Table1[[#This Row],[Starting Date]])</f>
        <v>1977</v>
      </c>
    </row>
    <row r="332" spans="1:10" x14ac:dyDescent="0.3">
      <c r="A332" t="s">
        <v>711</v>
      </c>
      <c r="B332" t="s">
        <v>712</v>
      </c>
      <c r="C332" s="1">
        <v>2851738.4</v>
      </c>
      <c r="D332" t="s">
        <v>52</v>
      </c>
      <c r="E332" s="2">
        <v>27957</v>
      </c>
      <c r="F332" t="s">
        <v>119</v>
      </c>
      <c r="G332" t="s">
        <v>29</v>
      </c>
      <c r="H332" t="s">
        <v>14</v>
      </c>
      <c r="I332" t="s">
        <v>8</v>
      </c>
      <c r="J332">
        <f>YEAR(Table1[[#This Row],[Starting Date]])</f>
        <v>1976</v>
      </c>
    </row>
    <row r="333" spans="1:10" x14ac:dyDescent="0.3">
      <c r="A333" t="s">
        <v>713</v>
      </c>
      <c r="B333" t="s">
        <v>714</v>
      </c>
      <c r="C333" s="1">
        <v>3000000</v>
      </c>
      <c r="D333" t="s">
        <v>85</v>
      </c>
      <c r="E333" s="2">
        <v>27957</v>
      </c>
      <c r="F333" t="s">
        <v>119</v>
      </c>
      <c r="G333" t="s">
        <v>29</v>
      </c>
      <c r="H333" t="s">
        <v>14</v>
      </c>
      <c r="I333" t="s">
        <v>8</v>
      </c>
      <c r="J333">
        <f>YEAR(Table1[[#This Row],[Starting Date]])</f>
        <v>1976</v>
      </c>
    </row>
    <row r="334" spans="1:10" x14ac:dyDescent="0.3">
      <c r="A334" t="s">
        <v>715</v>
      </c>
      <c r="B334" t="s">
        <v>716</v>
      </c>
      <c r="C334" s="1">
        <v>1000000</v>
      </c>
      <c r="D334" t="s">
        <v>143</v>
      </c>
      <c r="E334" s="2">
        <v>27355</v>
      </c>
      <c r="F334" t="s">
        <v>119</v>
      </c>
      <c r="G334" t="s">
        <v>29</v>
      </c>
      <c r="H334" t="s">
        <v>14</v>
      </c>
      <c r="I334" t="s">
        <v>8</v>
      </c>
      <c r="J334">
        <f>YEAR(Table1[[#This Row],[Starting Date]])</f>
        <v>1974</v>
      </c>
    </row>
    <row r="335" spans="1:10" x14ac:dyDescent="0.3">
      <c r="A335" t="s">
        <v>717</v>
      </c>
      <c r="B335" t="s">
        <v>718</v>
      </c>
      <c r="C335" s="1">
        <v>3975264.91</v>
      </c>
      <c r="D335" t="s">
        <v>719</v>
      </c>
      <c r="E335" s="2">
        <v>27354</v>
      </c>
      <c r="F335" t="s">
        <v>119</v>
      </c>
      <c r="G335" t="s">
        <v>29</v>
      </c>
      <c r="H335" t="s">
        <v>14</v>
      </c>
      <c r="I335" t="s">
        <v>8</v>
      </c>
      <c r="J335">
        <f>YEAR(Table1[[#This Row],[Starting Date]])</f>
        <v>1974</v>
      </c>
    </row>
    <row r="336" spans="1:10" x14ac:dyDescent="0.3">
      <c r="A336" t="s">
        <v>720</v>
      </c>
      <c r="B336" t="s">
        <v>721</v>
      </c>
      <c r="C336" s="1">
        <v>3912222.92</v>
      </c>
      <c r="D336" t="s">
        <v>52</v>
      </c>
      <c r="E336" s="2">
        <v>27157</v>
      </c>
      <c r="F336" t="s">
        <v>119</v>
      </c>
      <c r="G336" t="s">
        <v>29</v>
      </c>
      <c r="H336" t="s">
        <v>14</v>
      </c>
      <c r="I336" t="s">
        <v>8</v>
      </c>
      <c r="J336">
        <f>YEAR(Table1[[#This Row],[Starting Date]])</f>
        <v>1974</v>
      </c>
    </row>
    <row r="337" spans="1:10" x14ac:dyDescent="0.3">
      <c r="A337" t="s">
        <v>722</v>
      </c>
      <c r="B337" t="s">
        <v>723</v>
      </c>
      <c r="C337" s="1">
        <v>1485997.2</v>
      </c>
      <c r="D337" t="s">
        <v>532</v>
      </c>
      <c r="E337" s="2">
        <v>26625</v>
      </c>
      <c r="F337" t="s">
        <v>119</v>
      </c>
      <c r="G337" t="s">
        <v>29</v>
      </c>
      <c r="H337" t="s">
        <v>14</v>
      </c>
      <c r="I337" t="s">
        <v>8</v>
      </c>
      <c r="J337">
        <f>YEAR(Table1[[#This Row],[Starting Date]])</f>
        <v>1972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A8A3-C003-47BD-8A9D-130FBD522EE7}">
  <dimension ref="A3:O50"/>
  <sheetViews>
    <sheetView workbookViewId="0">
      <selection activeCell="K27" sqref="K27"/>
    </sheetView>
  </sheetViews>
  <sheetFormatPr defaultRowHeight="14.4" x14ac:dyDescent="0.3"/>
  <cols>
    <col min="1" max="1" width="32.88671875" bestFit="1" customWidth="1"/>
    <col min="2" max="2" width="24.44140625" bestFit="1" customWidth="1"/>
    <col min="4" max="4" width="14.109375" bestFit="1" customWidth="1"/>
    <col min="5" max="5" width="19.77734375" bestFit="1" customWidth="1"/>
    <col min="7" max="7" width="12.5546875" bestFit="1" customWidth="1"/>
    <col min="8" max="8" width="19.77734375" bestFit="1" customWidth="1"/>
    <col min="9" max="9" width="24.44140625" bestFit="1" customWidth="1"/>
    <col min="14" max="14" width="12.77734375" bestFit="1" customWidth="1"/>
    <col min="15" max="15" width="15.6640625" bestFit="1" customWidth="1"/>
  </cols>
  <sheetData>
    <row r="3" spans="1:15" x14ac:dyDescent="0.3">
      <c r="A3" s="4" t="s">
        <v>725</v>
      </c>
      <c r="B3" t="s">
        <v>724</v>
      </c>
      <c r="D3" s="4" t="s">
        <v>725</v>
      </c>
      <c r="E3" t="s">
        <v>728</v>
      </c>
      <c r="G3" s="4" t="s">
        <v>725</v>
      </c>
      <c r="H3" t="s">
        <v>728</v>
      </c>
      <c r="I3" t="s">
        <v>724</v>
      </c>
      <c r="N3" s="4" t="s">
        <v>725</v>
      </c>
      <c r="O3" t="s">
        <v>727</v>
      </c>
    </row>
    <row r="4" spans="1:15" x14ac:dyDescent="0.3">
      <c r="A4" s="5" t="s">
        <v>317</v>
      </c>
      <c r="B4" s="1">
        <v>126883350.63</v>
      </c>
      <c r="D4" s="5" t="s">
        <v>12</v>
      </c>
      <c r="E4" s="7">
        <v>22</v>
      </c>
      <c r="G4" s="5">
        <v>1972</v>
      </c>
      <c r="H4">
        <v>1</v>
      </c>
      <c r="I4" s="1">
        <v>1485997.2</v>
      </c>
      <c r="N4" s="5" t="s">
        <v>30</v>
      </c>
      <c r="O4">
        <v>130</v>
      </c>
    </row>
    <row r="5" spans="1:15" x14ac:dyDescent="0.3">
      <c r="A5" s="5" t="s">
        <v>28</v>
      </c>
      <c r="B5" s="1">
        <v>108414082.15000001</v>
      </c>
      <c r="D5" s="5" t="s">
        <v>189</v>
      </c>
      <c r="E5" s="7">
        <v>4</v>
      </c>
      <c r="G5" s="5">
        <v>1974</v>
      </c>
      <c r="H5">
        <v>3</v>
      </c>
      <c r="I5" s="1">
        <v>8887487.8300000001</v>
      </c>
      <c r="N5" s="5" t="s">
        <v>8</v>
      </c>
      <c r="O5">
        <v>132</v>
      </c>
    </row>
    <row r="6" spans="1:15" x14ac:dyDescent="0.3">
      <c r="A6" s="5" t="s">
        <v>97</v>
      </c>
      <c r="B6" s="1">
        <v>78889167.75999999</v>
      </c>
      <c r="D6" s="5" t="s">
        <v>119</v>
      </c>
      <c r="E6">
        <v>155</v>
      </c>
      <c r="F6" s="6"/>
      <c r="G6" s="5">
        <v>1976</v>
      </c>
      <c r="H6">
        <v>2</v>
      </c>
      <c r="I6" s="1">
        <v>5851738.4000000004</v>
      </c>
      <c r="N6" s="5" t="s">
        <v>726</v>
      </c>
      <c r="O6">
        <v>262</v>
      </c>
    </row>
    <row r="7" spans="1:15" x14ac:dyDescent="0.3">
      <c r="A7" s="5" t="s">
        <v>105</v>
      </c>
      <c r="B7" s="1">
        <v>33902139.789999999</v>
      </c>
      <c r="D7" s="5" t="s">
        <v>18</v>
      </c>
      <c r="E7" s="7">
        <v>81</v>
      </c>
      <c r="G7" s="5">
        <v>1977</v>
      </c>
      <c r="H7">
        <v>3</v>
      </c>
      <c r="I7" s="1">
        <v>9006059.5</v>
      </c>
    </row>
    <row r="8" spans="1:15" x14ac:dyDescent="0.3">
      <c r="A8" s="5" t="s">
        <v>719</v>
      </c>
      <c r="B8" s="1">
        <v>3975264.91</v>
      </c>
      <c r="D8" s="5" t="s">
        <v>726</v>
      </c>
      <c r="E8">
        <v>262</v>
      </c>
      <c r="G8" s="5">
        <v>1978</v>
      </c>
      <c r="H8">
        <v>1</v>
      </c>
      <c r="I8" s="1">
        <v>5000000</v>
      </c>
    </row>
    <row r="9" spans="1:15" x14ac:dyDescent="0.3">
      <c r="A9" s="5" t="s">
        <v>433</v>
      </c>
      <c r="B9" s="1">
        <v>2146897.6800000002</v>
      </c>
      <c r="G9" s="5">
        <v>1979</v>
      </c>
      <c r="H9">
        <v>3</v>
      </c>
      <c r="I9" s="1">
        <v>10291688.800000001</v>
      </c>
    </row>
    <row r="10" spans="1:15" x14ac:dyDescent="0.3">
      <c r="A10" s="5" t="s">
        <v>700</v>
      </c>
      <c r="B10" s="1">
        <v>3499965.2</v>
      </c>
      <c r="G10" s="5">
        <v>1980</v>
      </c>
      <c r="H10">
        <v>3</v>
      </c>
      <c r="I10" s="1">
        <v>29602039.019999996</v>
      </c>
    </row>
    <row r="11" spans="1:15" x14ac:dyDescent="0.3">
      <c r="A11" s="5" t="s">
        <v>118</v>
      </c>
      <c r="B11" s="1">
        <v>22243118.079999998</v>
      </c>
      <c r="G11" s="5">
        <v>1981</v>
      </c>
      <c r="H11">
        <v>3</v>
      </c>
      <c r="I11" s="1">
        <v>29420803.189999998</v>
      </c>
    </row>
    <row r="12" spans="1:15" x14ac:dyDescent="0.3">
      <c r="A12" s="5" t="s">
        <v>248</v>
      </c>
      <c r="B12" s="1">
        <v>1419605.1400000001</v>
      </c>
      <c r="G12" s="5">
        <v>1982</v>
      </c>
      <c r="H12">
        <v>4</v>
      </c>
      <c r="I12" s="1">
        <v>23935001.850000001</v>
      </c>
    </row>
    <row r="13" spans="1:15" x14ac:dyDescent="0.3">
      <c r="A13" s="5" t="s">
        <v>43</v>
      </c>
      <c r="B13" s="1">
        <v>767501814.82000005</v>
      </c>
      <c r="G13" s="5">
        <v>1983</v>
      </c>
      <c r="H13">
        <v>2</v>
      </c>
      <c r="I13" s="1">
        <v>24838908.02</v>
      </c>
    </row>
    <row r="14" spans="1:15" x14ac:dyDescent="0.3">
      <c r="A14" s="5" t="s">
        <v>150</v>
      </c>
      <c r="B14" s="1">
        <v>9701939.5399999991</v>
      </c>
      <c r="G14" s="5">
        <v>1984</v>
      </c>
      <c r="H14">
        <v>4</v>
      </c>
      <c r="I14" s="1">
        <v>110265908.94999999</v>
      </c>
    </row>
    <row r="15" spans="1:15" x14ac:dyDescent="0.3">
      <c r="A15" s="5" t="s">
        <v>242</v>
      </c>
      <c r="B15" s="1">
        <v>226919.54</v>
      </c>
      <c r="G15" s="5">
        <v>1985</v>
      </c>
      <c r="H15">
        <v>1</v>
      </c>
      <c r="I15" s="1">
        <v>18064058.190000001</v>
      </c>
    </row>
    <row r="16" spans="1:15" x14ac:dyDescent="0.3">
      <c r="A16" s="5" t="s">
        <v>631</v>
      </c>
      <c r="B16" s="1">
        <v>9823662.6199999992</v>
      </c>
      <c r="G16" s="5">
        <v>1986</v>
      </c>
      <c r="H16">
        <v>1</v>
      </c>
      <c r="I16" s="1">
        <v>49996958.100000001</v>
      </c>
    </row>
    <row r="17" spans="1:9" x14ac:dyDescent="0.3">
      <c r="A17" s="5" t="s">
        <v>219</v>
      </c>
      <c r="B17" s="1">
        <v>38693370.219999999</v>
      </c>
      <c r="G17" s="5">
        <v>1987</v>
      </c>
      <c r="H17">
        <v>1</v>
      </c>
      <c r="I17" s="1">
        <v>80000000</v>
      </c>
    </row>
    <row r="18" spans="1:9" x14ac:dyDescent="0.3">
      <c r="A18" s="5" t="s">
        <v>63</v>
      </c>
      <c r="B18" s="1">
        <v>5853901.2599999998</v>
      </c>
      <c r="G18" s="5">
        <v>1988</v>
      </c>
      <c r="H18">
        <v>8</v>
      </c>
      <c r="I18" s="1">
        <v>114205460.53</v>
      </c>
    </row>
    <row r="19" spans="1:9" x14ac:dyDescent="0.3">
      <c r="A19" s="5" t="s">
        <v>49</v>
      </c>
      <c r="B19" s="1">
        <v>499552775.42000008</v>
      </c>
      <c r="G19" s="5">
        <v>1989</v>
      </c>
      <c r="H19">
        <v>2</v>
      </c>
      <c r="I19" s="1">
        <v>75273214.950000003</v>
      </c>
    </row>
    <row r="20" spans="1:9" x14ac:dyDescent="0.3">
      <c r="A20" s="5" t="s">
        <v>245</v>
      </c>
      <c r="B20" s="1">
        <v>979288.91999999993</v>
      </c>
      <c r="G20" s="5">
        <v>1990</v>
      </c>
      <c r="H20">
        <v>4</v>
      </c>
      <c r="I20" s="1">
        <v>114297182.51000001</v>
      </c>
    </row>
    <row r="21" spans="1:9" x14ac:dyDescent="0.3">
      <c r="A21" s="5" t="s">
        <v>11</v>
      </c>
      <c r="B21" s="1">
        <v>2500000</v>
      </c>
      <c r="G21" s="5">
        <v>1991</v>
      </c>
      <c r="H21">
        <v>9</v>
      </c>
      <c r="I21" s="1">
        <v>160001192.49000001</v>
      </c>
    </row>
    <row r="22" spans="1:9" x14ac:dyDescent="0.3">
      <c r="A22" s="5" t="s">
        <v>532</v>
      </c>
      <c r="B22" s="1">
        <v>1485997.2</v>
      </c>
      <c r="G22" s="5">
        <v>1992</v>
      </c>
      <c r="H22">
        <v>2</v>
      </c>
      <c r="I22" s="1">
        <v>194999773.09</v>
      </c>
    </row>
    <row r="23" spans="1:9" x14ac:dyDescent="0.3">
      <c r="A23" s="5" t="s">
        <v>46</v>
      </c>
      <c r="B23" s="1">
        <v>4617657.92</v>
      </c>
      <c r="G23" s="5">
        <v>1993</v>
      </c>
      <c r="H23">
        <v>2</v>
      </c>
      <c r="I23" s="1">
        <v>102366683.09</v>
      </c>
    </row>
    <row r="24" spans="1:9" x14ac:dyDescent="0.3">
      <c r="A24" s="5" t="s">
        <v>33</v>
      </c>
      <c r="B24" s="1">
        <v>27983788.359999999</v>
      </c>
      <c r="G24" s="5">
        <v>1994</v>
      </c>
      <c r="H24">
        <v>6</v>
      </c>
      <c r="I24" s="1">
        <v>72446495.329999998</v>
      </c>
    </row>
    <row r="25" spans="1:9" x14ac:dyDescent="0.3">
      <c r="A25" s="5" t="s">
        <v>24</v>
      </c>
      <c r="B25" s="1">
        <v>183973951.31</v>
      </c>
      <c r="G25" s="5">
        <v>1995</v>
      </c>
      <c r="H25">
        <v>1</v>
      </c>
      <c r="I25" s="1">
        <v>150000000</v>
      </c>
    </row>
    <row r="26" spans="1:9" x14ac:dyDescent="0.3">
      <c r="A26" s="5" t="s">
        <v>52</v>
      </c>
      <c r="B26" s="1">
        <v>1395182670.3100002</v>
      </c>
      <c r="G26" s="5">
        <v>1996</v>
      </c>
      <c r="H26">
        <v>1</v>
      </c>
      <c r="I26" s="1">
        <v>87461145.209999993</v>
      </c>
    </row>
    <row r="27" spans="1:9" x14ac:dyDescent="0.3">
      <c r="A27" s="5" t="s">
        <v>82</v>
      </c>
      <c r="B27" s="1">
        <v>34741437.049999997</v>
      </c>
      <c r="G27" s="5">
        <v>1997</v>
      </c>
      <c r="H27">
        <v>2</v>
      </c>
      <c r="I27" s="1">
        <v>346737003.12</v>
      </c>
    </row>
    <row r="28" spans="1:9" x14ac:dyDescent="0.3">
      <c r="A28" s="5" t="s">
        <v>17</v>
      </c>
      <c r="B28" s="1">
        <v>1890662370.9400008</v>
      </c>
      <c r="G28" s="5">
        <v>1999</v>
      </c>
      <c r="H28">
        <v>5</v>
      </c>
      <c r="I28" s="1">
        <v>144429261.73000002</v>
      </c>
    </row>
    <row r="29" spans="1:9" x14ac:dyDescent="0.3">
      <c r="A29" s="5" t="s">
        <v>230</v>
      </c>
      <c r="B29" s="1">
        <v>209495348.03999999</v>
      </c>
      <c r="G29" s="5">
        <v>2000</v>
      </c>
      <c r="H29">
        <v>4</v>
      </c>
      <c r="I29" s="1">
        <v>172313317.40000001</v>
      </c>
    </row>
    <row r="30" spans="1:9" x14ac:dyDescent="0.3">
      <c r="A30" s="5" t="s">
        <v>302</v>
      </c>
      <c r="B30" s="1">
        <v>12908980.41</v>
      </c>
      <c r="G30" s="5">
        <v>2001</v>
      </c>
      <c r="H30">
        <v>4</v>
      </c>
      <c r="I30" s="1">
        <v>213351922.60000002</v>
      </c>
    </row>
    <row r="31" spans="1:9" x14ac:dyDescent="0.3">
      <c r="A31" s="5" t="s">
        <v>100</v>
      </c>
      <c r="B31" s="1">
        <v>1467876372.1899996</v>
      </c>
      <c r="G31" s="5">
        <v>2002</v>
      </c>
      <c r="H31">
        <v>8</v>
      </c>
      <c r="I31" s="1">
        <v>343103103.72000003</v>
      </c>
    </row>
    <row r="32" spans="1:9" x14ac:dyDescent="0.3">
      <c r="A32" s="5" t="s">
        <v>71</v>
      </c>
      <c r="B32" s="1">
        <v>49349316.499999993</v>
      </c>
      <c r="G32" s="5">
        <v>2003</v>
      </c>
      <c r="H32">
        <v>6</v>
      </c>
      <c r="I32" s="1">
        <v>201130810.89000002</v>
      </c>
    </row>
    <row r="33" spans="1:9" x14ac:dyDescent="0.3">
      <c r="A33" s="5" t="s">
        <v>66</v>
      </c>
      <c r="B33" s="1">
        <v>11967257.58</v>
      </c>
      <c r="G33" s="5">
        <v>2004</v>
      </c>
      <c r="H33">
        <v>3</v>
      </c>
      <c r="I33" s="1">
        <v>38477916.469999999</v>
      </c>
    </row>
    <row r="34" spans="1:9" x14ac:dyDescent="0.3">
      <c r="A34" s="5" t="s">
        <v>235</v>
      </c>
      <c r="B34" s="1">
        <v>4731562.6400000006</v>
      </c>
      <c r="G34" s="5">
        <v>2005</v>
      </c>
      <c r="H34">
        <v>4</v>
      </c>
      <c r="I34" s="1">
        <v>310802781.81999999</v>
      </c>
    </row>
    <row r="35" spans="1:9" x14ac:dyDescent="0.3">
      <c r="A35" s="5" t="s">
        <v>143</v>
      </c>
      <c r="B35" s="1">
        <v>5947264.7800000003</v>
      </c>
      <c r="G35" s="5">
        <v>2006</v>
      </c>
      <c r="H35">
        <v>4</v>
      </c>
      <c r="I35" s="1">
        <v>517634018.73000002</v>
      </c>
    </row>
    <row r="36" spans="1:9" x14ac:dyDescent="0.3">
      <c r="A36" s="5" t="s">
        <v>657</v>
      </c>
      <c r="B36" s="1">
        <v>4864872.43</v>
      </c>
      <c r="G36" s="5">
        <v>2007</v>
      </c>
      <c r="H36">
        <v>2</v>
      </c>
      <c r="I36" s="1">
        <v>964747.60000000009</v>
      </c>
    </row>
    <row r="37" spans="1:9" x14ac:dyDescent="0.3">
      <c r="A37" s="5" t="s">
        <v>140</v>
      </c>
      <c r="B37" s="1">
        <v>1014944150.09</v>
      </c>
      <c r="G37" s="5">
        <v>2008</v>
      </c>
      <c r="H37">
        <v>13</v>
      </c>
      <c r="I37" s="1">
        <v>340638425.88000005</v>
      </c>
    </row>
    <row r="38" spans="1:9" x14ac:dyDescent="0.3">
      <c r="A38" s="5" t="s">
        <v>153</v>
      </c>
      <c r="B38" s="1">
        <v>4800000</v>
      </c>
      <c r="G38" s="5">
        <v>2009</v>
      </c>
      <c r="H38">
        <v>9</v>
      </c>
      <c r="I38" s="1">
        <v>292357687.18000007</v>
      </c>
    </row>
    <row r="39" spans="1:9" x14ac:dyDescent="0.3">
      <c r="A39" s="5" t="s">
        <v>202</v>
      </c>
      <c r="B39" s="1">
        <v>78965782.909999996</v>
      </c>
      <c r="G39" s="5">
        <v>2010</v>
      </c>
      <c r="H39">
        <v>7</v>
      </c>
      <c r="I39" s="1">
        <v>325932009.93000001</v>
      </c>
    </row>
    <row r="40" spans="1:9" x14ac:dyDescent="0.3">
      <c r="A40" s="5" t="s">
        <v>184</v>
      </c>
      <c r="B40" s="1">
        <v>7670737.8700000001</v>
      </c>
      <c r="G40" s="5">
        <v>2011</v>
      </c>
      <c r="H40">
        <v>13</v>
      </c>
      <c r="I40" s="1">
        <v>614214021.96999991</v>
      </c>
    </row>
    <row r="41" spans="1:9" x14ac:dyDescent="0.3">
      <c r="A41" s="5" t="s">
        <v>85</v>
      </c>
      <c r="B41" s="1">
        <v>1939790799.1400006</v>
      </c>
      <c r="G41" s="5">
        <v>2012</v>
      </c>
      <c r="H41">
        <v>8</v>
      </c>
      <c r="I41" s="1">
        <v>259240673.5</v>
      </c>
    </row>
    <row r="42" spans="1:9" x14ac:dyDescent="0.3">
      <c r="A42" s="5" t="s">
        <v>112</v>
      </c>
      <c r="B42" s="1">
        <v>72897112.399999991</v>
      </c>
      <c r="G42" s="5">
        <v>2013</v>
      </c>
      <c r="H42">
        <v>13</v>
      </c>
      <c r="I42" s="1">
        <v>373469415.48000002</v>
      </c>
    </row>
    <row r="43" spans="1:9" x14ac:dyDescent="0.3">
      <c r="A43" s="5" t="s">
        <v>135</v>
      </c>
      <c r="B43" s="1">
        <v>81237859.670000002</v>
      </c>
      <c r="G43" s="5">
        <v>2014</v>
      </c>
      <c r="H43">
        <v>13</v>
      </c>
      <c r="I43" s="1">
        <v>814304787.36999989</v>
      </c>
    </row>
    <row r="44" spans="1:9" x14ac:dyDescent="0.3">
      <c r="A44" s="5" t="s">
        <v>205</v>
      </c>
      <c r="B44" s="1">
        <v>27930188.539999999</v>
      </c>
      <c r="G44" s="5">
        <v>2015</v>
      </c>
      <c r="H44">
        <v>7</v>
      </c>
      <c r="I44" s="1">
        <v>372883161.69</v>
      </c>
    </row>
    <row r="45" spans="1:9" x14ac:dyDescent="0.3">
      <c r="A45" s="5" t="s">
        <v>726</v>
      </c>
      <c r="B45" s="1">
        <v>10250232741.960003</v>
      </c>
      <c r="G45" s="5">
        <v>2016</v>
      </c>
      <c r="H45">
        <v>21</v>
      </c>
      <c r="I45" s="1">
        <v>1347961603.6300001</v>
      </c>
    </row>
    <row r="46" spans="1:9" x14ac:dyDescent="0.3">
      <c r="G46" s="5">
        <v>2017</v>
      </c>
      <c r="H46">
        <v>12</v>
      </c>
      <c r="I46" s="1">
        <v>655666636.87</v>
      </c>
    </row>
    <row r="47" spans="1:9" x14ac:dyDescent="0.3">
      <c r="G47" s="5">
        <v>2018</v>
      </c>
      <c r="H47">
        <v>7</v>
      </c>
      <c r="I47" s="1">
        <v>162634531.21000001</v>
      </c>
    </row>
    <row r="48" spans="1:9" x14ac:dyDescent="0.3">
      <c r="G48" s="5">
        <v>2019</v>
      </c>
      <c r="H48">
        <v>23</v>
      </c>
      <c r="I48" s="1">
        <v>877966854.18999994</v>
      </c>
    </row>
    <row r="49" spans="7:9" x14ac:dyDescent="0.3">
      <c r="G49" s="5">
        <v>2020</v>
      </c>
      <c r="H49">
        <v>7</v>
      </c>
      <c r="I49" s="1">
        <v>46320252.729999997</v>
      </c>
    </row>
    <row r="50" spans="7:9" x14ac:dyDescent="0.3">
      <c r="G50" s="5" t="s">
        <v>726</v>
      </c>
      <c r="H50">
        <v>262</v>
      </c>
      <c r="I50" s="1">
        <v>10250232741.960005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56222-E45A-4B0D-BE44-FB86669D6CB3}">
  <dimension ref="A1"/>
  <sheetViews>
    <sheetView tabSelected="1" zoomScale="79" zoomScaleNormal="83" workbookViewId="0">
      <selection activeCell="AC10" sqref="AC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SHRADDHA GAIKWAD</dc:creator>
  <cp:lastModifiedBy>SHRADDHA GAIKWAD</cp:lastModifiedBy>
  <dcterms:created xsi:type="dcterms:W3CDTF">2026-06-27T09:25:16Z</dcterms:created>
  <dcterms:modified xsi:type="dcterms:W3CDTF">2026-06-27T12:21:33Z</dcterms:modified>
</cp:coreProperties>
</file>